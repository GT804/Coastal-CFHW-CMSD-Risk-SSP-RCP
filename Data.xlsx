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400" windowHeight="10020" tabRatio="711" activeTab="3"/>
  </bookViews>
  <sheets>
    <sheet name="CMSD score（historical） " sheetId="1" r:id="rId1"/>
    <sheet name="CMSD score （future scenarios）" sheetId="2" r:id="rId2"/>
    <sheet name="Covariate (historical)" sheetId="3" r:id="rId3"/>
    <sheet name="Covariate (future scenari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<sst xmlns="http://schemas.openxmlformats.org/spreadsheetml/2006/main" count="1988" uniqueCount="28">
  <si>
    <t>province</t>
  </si>
  <si>
    <t>year</t>
  </si>
  <si>
    <t>CMSDI</t>
  </si>
  <si>
    <t>Tianjin</t>
  </si>
  <si>
    <t>Hebei</t>
  </si>
  <si>
    <t>Liaoning</t>
  </si>
  <si>
    <t>Shanghai</t>
  </si>
  <si>
    <t>Jiangsu</t>
  </si>
  <si>
    <t>zhejiang</t>
  </si>
  <si>
    <t>Fujian</t>
  </si>
  <si>
    <t>Shandong</t>
  </si>
  <si>
    <t>Guangdong</t>
  </si>
  <si>
    <t>Guangxi</t>
  </si>
  <si>
    <t>Hainan</t>
  </si>
  <si>
    <t>SSP126</t>
  </si>
  <si>
    <t>SSP245</t>
  </si>
  <si>
    <t>SSP585</t>
  </si>
  <si>
    <t>Zhejiang</t>
  </si>
  <si>
    <t>Covariates required by the BSTS model</t>
  </si>
  <si>
    <t>POP (in 10,000s) Permanent Resident</t>
  </si>
  <si>
    <t>GDP (in billions of yuan, with 2010 as the base year for constant prices)</t>
  </si>
  <si>
    <r>
      <rPr>
        <sz val="12"/>
        <rFont val="Times New Roman Regular"/>
        <charset val="134"/>
      </rPr>
      <t>ISA</t>
    </r>
    <r>
      <rPr>
        <sz val="12"/>
        <rFont val="宋体"/>
        <charset val="134"/>
      </rPr>
      <t>（</t>
    </r>
    <r>
      <rPr>
        <sz val="12"/>
        <rFont val="Times New Roman Regular"/>
        <charset val="134"/>
      </rPr>
      <t>km2)</t>
    </r>
  </si>
  <si>
    <r>
      <rPr>
        <b/>
        <sz val="11"/>
        <color rgb="FFFF0000"/>
        <rFont val="宋体"/>
        <charset val="134"/>
        <scheme val="minor"/>
      </rPr>
      <t xml:space="preserve">Note: </t>
    </r>
    <r>
      <rPr>
        <sz val="11"/>
        <color theme="1"/>
        <rFont val="宋体"/>
        <charset val="134"/>
        <scheme val="minor"/>
      </rPr>
      <t>Data from historical periods are sourced from the website of the National Bureau of Statistics, while simulated data for future scenarios are derived from grid data simulated by SSP and downscaled to the provincial level.</t>
    </r>
  </si>
  <si>
    <t>POP</t>
  </si>
  <si>
    <t>GDP</t>
  </si>
  <si>
    <t>ISA</t>
  </si>
  <si>
    <r>
      <rPr>
        <b/>
        <sz val="11"/>
        <color rgb="FFFF0000"/>
        <rFont val="宋体"/>
        <charset val="134"/>
        <scheme val="minor"/>
      </rPr>
      <t>Note:</t>
    </r>
    <r>
      <rPr>
        <sz val="11"/>
        <color theme="1"/>
        <rFont val="宋体"/>
        <charset val="134"/>
        <scheme val="minor"/>
      </rPr>
      <t xml:space="preserve"> The 2023 ISA data are in fact simulated data for 2020. Values for years that are multiples of 5 from 2025, 2030 to 2100 are simulated, while ISA values for other non‑multiple‑of‑5 years are generated by interpolation.</t>
    </r>
  </si>
  <si>
    <r>
      <rPr>
        <sz val="12"/>
        <rFont val="宋体"/>
        <charset val="134"/>
      </rPr>
      <t>山东</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</si>
</sst>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8">
    <font>
      <sz val="11"/>
      <color theme="1"/>
      <name val="宋体"/>
      <charset val="134"/>
      <scheme val="minor"/>
    </font>
    <font>
      <sz val="12"/>
      <name val="宋体"/>
      <charset val="134"/>
    </font>
    <font>
      <b/>
      <sz val="11"/>
      <color rgb="FFFF0000"/>
      <name val="宋体"/>
      <charset val="134"/>
      <scheme val="minor"/>
    </font>
    <font>
      <sz val="12"/>
      <name val="Times New Roman Regular"/>
      <charset val="134"/>
    </font>
    <font>
      <sz val="10"/>
      <name val="Times New Roman Regular"/>
      <charset val="0"/>
    </font>
    <font>
      <sz val="10"/>
      <name val="Times New Roman Regular"/>
      <charset val="134"/>
    </font>
    <font>
      <sz val="11"/>
      <name val="Times New Roman Regular"/>
      <charset val="134"/>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bottom/>
      <diagonal/>
    </border>
    <border>
      <left/>
      <right style="thin">
        <color auto="1"/>
      </right>
      <top/>
      <bottom/>
      <diagonal/>
    </border>
    <border>
      <left/>
      <right style="thin">
        <color indexed="8"/>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indexed="8"/>
      </right>
      <top/>
      <bottom style="thin">
        <color auto="1"/>
      </bottom>
      <diagonal/>
    </border>
    <border>
      <left style="thin">
        <color indexed="8"/>
      </left>
      <right/>
      <top/>
      <bottom/>
      <diagonal/>
    </border>
    <border>
      <left style="thin">
        <color indexed="8"/>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3" borderId="14" applyNumberFormat="0" applyAlignment="0" applyProtection="0">
      <alignment vertical="center"/>
    </xf>
    <xf numFmtId="0" fontId="18" fillId="4" borderId="15" applyNumberFormat="0" applyAlignment="0" applyProtection="0">
      <alignment vertical="center"/>
    </xf>
    <xf numFmtId="0" fontId="19" fillId="4" borderId="14" applyNumberFormat="0" applyAlignment="0" applyProtection="0">
      <alignment vertical="center"/>
    </xf>
    <xf numFmtId="0" fontId="20" fillId="5"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1">
    <xf numFmtId="0" fontId="0" fillId="0" borderId="0" xfId="0">
      <alignment vertical="center"/>
    </xf>
    <xf numFmtId="0" fontId="1" fillId="0" borderId="0" xfId="0" applyFont="1" applyFill="1" applyBorder="1" applyAlignment="1">
      <alignmen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4" xfId="0" applyFont="1" applyFill="1" applyBorder="1" applyAlignment="1">
      <alignment vertical="center" wrapText="1"/>
    </xf>
    <xf numFmtId="0" fontId="1" fillId="0" borderId="5" xfId="0" applyFont="1" applyFill="1" applyBorder="1" applyAlignment="1">
      <alignment vertical="center" wrapText="1"/>
    </xf>
    <xf numFmtId="176" fontId="0" fillId="0" borderId="1" xfId="0" applyNumberFormat="1" applyFont="1" applyFill="1" applyBorder="1" applyAlignment="1"/>
    <xf numFmtId="0" fontId="0" fillId="0" borderId="0" xfId="0" applyFont="1" applyFill="1" applyBorder="1" applyAlignment="1"/>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6" xfId="0" applyFont="1" applyFill="1" applyBorder="1" applyAlignment="1">
      <alignment vertical="center" wrapText="1"/>
    </xf>
    <xf numFmtId="0" fontId="1" fillId="0" borderId="7" xfId="0" applyFont="1" applyFill="1" applyBorder="1" applyAlignment="1">
      <alignment vertical="center" wrapText="1"/>
    </xf>
    <xf numFmtId="0" fontId="0" fillId="0" borderId="2" xfId="0" applyFont="1" applyFill="1" applyBorder="1" applyAlignment="1"/>
    <xf numFmtId="0" fontId="1" fillId="0" borderId="3" xfId="0" applyNumberFormat="1" applyFont="1" applyFill="1" applyBorder="1" applyAlignment="1">
      <alignment vertical="center"/>
    </xf>
    <xf numFmtId="0" fontId="1" fillId="0" borderId="2" xfId="0" applyNumberFormat="1" applyFont="1" applyFill="1" applyBorder="1" applyAlignment="1">
      <alignment vertical="center"/>
    </xf>
    <xf numFmtId="0" fontId="2" fillId="0" borderId="0" xfId="0" applyFont="1" applyAlignment="1">
      <alignment horizontal="justify" vertical="center" wrapText="1"/>
    </xf>
    <xf numFmtId="0" fontId="0" fillId="0" borderId="0" xfId="0" applyAlignment="1">
      <alignment horizontal="justify" vertical="center" wrapText="1"/>
    </xf>
    <xf numFmtId="0" fontId="0" fillId="0" borderId="2" xfId="0" applyNumberFormat="1" applyFont="1" applyFill="1" applyBorder="1" applyAlignment="1"/>
    <xf numFmtId="0" fontId="3" fillId="0" borderId="0" xfId="0" applyFont="1" applyFill="1" applyBorder="1" applyAlignment="1">
      <alignment vertical="center"/>
    </xf>
    <xf numFmtId="0" fontId="3" fillId="0" borderId="8" xfId="0" applyFont="1" applyFill="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horizontal="center" vertical="center" wrapText="1"/>
    </xf>
    <xf numFmtId="0" fontId="3" fillId="0" borderId="8"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4" xfId="0" applyFont="1" applyFill="1" applyBorder="1" applyAlignment="1">
      <alignment vertical="center" wrapText="1"/>
    </xf>
    <xf numFmtId="0" fontId="3" fillId="0" borderId="9" xfId="0" applyFont="1" applyFill="1" applyBorder="1" applyAlignment="1">
      <alignment vertical="center" wrapText="1"/>
    </xf>
    <xf numFmtId="0" fontId="4" fillId="0" borderId="0" xfId="0" applyFont="1" applyFill="1" applyBorder="1" applyAlignment="1"/>
    <xf numFmtId="0" fontId="5" fillId="0" borderId="0" xfId="0" applyFont="1" applyFill="1" applyBorder="1" applyAlignment="1">
      <alignment horizontal="right" vertical="center"/>
    </xf>
    <xf numFmtId="0" fontId="3" fillId="0" borderId="3" xfId="0" applyFont="1" applyFill="1" applyBorder="1" applyAlignment="1">
      <alignment horizontal="center" vertical="center"/>
    </xf>
    <xf numFmtId="0" fontId="3" fillId="0" borderId="7" xfId="0" applyFont="1" applyFill="1" applyBorder="1" applyAlignment="1">
      <alignment vertical="center" wrapText="1"/>
    </xf>
    <xf numFmtId="0" fontId="6" fillId="0" borderId="0" xfId="0" applyNumberFormat="1" applyFont="1" applyFill="1" applyBorder="1" applyAlignment="1">
      <alignment vertical="center"/>
    </xf>
    <xf numFmtId="0" fontId="7" fillId="0" borderId="10" xfId="0" applyFont="1" applyFill="1" applyBorder="1" applyAlignment="1">
      <alignment horizontal="center" vertical="top"/>
    </xf>
    <xf numFmtId="0" fontId="0" fillId="0" borderId="0" xfId="0" applyFill="1" applyAlignment="1"/>
    <xf numFmtId="0" fontId="0" fillId="0" borderId="0" xfId="0" applyBorder="1">
      <alignment vertical="center"/>
    </xf>
    <xf numFmtId="0" fontId="8" fillId="0" borderId="0" xfId="0" applyFont="1" applyFill="1" applyBorder="1">
      <alignment vertical="center"/>
    </xf>
    <xf numFmtId="0" fontId="1" fillId="0" borderId="0" xfId="0" applyFont="1" applyFill="1" applyBorder="1" applyAlignment="1">
      <alignment vertical="center" wrapText="1"/>
    </xf>
    <xf numFmtId="0" fontId="7" fillId="0" borderId="0"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2"/>
  <sheetViews>
    <sheetView workbookViewId="0">
      <selection activeCell="F21" sqref="F21"/>
    </sheetView>
  </sheetViews>
  <sheetFormatPr defaultColWidth="9.23076923076923" defaultRowHeight="16.8" outlineLevelCol="5"/>
  <cols>
    <col min="1" max="1" width="16.5" style="37" customWidth="1"/>
    <col min="2" max="3" width="9.23076923076923" style="38"/>
    <col min="4" max="6" width="9.23076923076923" style="37"/>
  </cols>
  <sheetData>
    <row r="1" ht="18" spans="1:6">
      <c r="A1" s="39" t="s">
        <v>0</v>
      </c>
      <c r="B1" s="39" t="s">
        <v>1</v>
      </c>
      <c r="C1" s="39" t="s">
        <v>2</v>
      </c>
      <c r="D1" s="40"/>
      <c r="E1" s="40"/>
      <c r="F1" s="40"/>
    </row>
    <row r="2" ht="17.6" spans="1:6">
      <c r="A2" s="1" t="s">
        <v>3</v>
      </c>
      <c r="B2" s="1">
        <v>2012</v>
      </c>
      <c r="C2" s="1">
        <v>0.3174286</v>
      </c>
      <c r="D2" s="1"/>
      <c r="E2" s="1"/>
      <c r="F2" s="1"/>
    </row>
    <row r="3" ht="17.6" spans="1:6">
      <c r="A3" s="1" t="s">
        <v>3</v>
      </c>
      <c r="B3" s="1">
        <v>2013</v>
      </c>
      <c r="C3" s="1">
        <v>0.3261725</v>
      </c>
      <c r="D3" s="1"/>
      <c r="E3" s="1"/>
      <c r="F3" s="1"/>
    </row>
    <row r="4" ht="17.6" spans="1:6">
      <c r="A4" s="1" t="s">
        <v>3</v>
      </c>
      <c r="B4" s="1">
        <v>2014</v>
      </c>
      <c r="C4" s="1">
        <v>0.3261729</v>
      </c>
      <c r="D4" s="1"/>
      <c r="E4" s="1"/>
      <c r="F4" s="1"/>
    </row>
    <row r="5" ht="17.6" spans="1:6">
      <c r="A5" s="1" t="s">
        <v>3</v>
      </c>
      <c r="B5" s="1">
        <v>2015</v>
      </c>
      <c r="C5" s="1">
        <v>0.3257125</v>
      </c>
      <c r="D5" s="1"/>
      <c r="E5" s="1"/>
      <c r="F5" s="1"/>
    </row>
    <row r="6" ht="17.6" spans="1:6">
      <c r="A6" s="1" t="s">
        <v>3</v>
      </c>
      <c r="B6" s="1">
        <v>2016</v>
      </c>
      <c r="C6" s="1">
        <v>0.3031285</v>
      </c>
      <c r="D6" s="1"/>
      <c r="E6" s="1"/>
      <c r="F6" s="1"/>
    </row>
    <row r="7" ht="17.6" spans="1:6">
      <c r="A7" s="1" t="s">
        <v>3</v>
      </c>
      <c r="B7" s="1">
        <v>2017</v>
      </c>
      <c r="C7" s="1">
        <v>0.3174709</v>
      </c>
      <c r="D7" s="1"/>
      <c r="E7" s="1"/>
      <c r="F7" s="1"/>
    </row>
    <row r="8" ht="17.6" spans="1:6">
      <c r="A8" s="1" t="s">
        <v>3</v>
      </c>
      <c r="B8" s="1">
        <v>2018</v>
      </c>
      <c r="C8" s="1">
        <v>0.3665188</v>
      </c>
      <c r="D8" s="1"/>
      <c r="E8" s="1"/>
      <c r="F8" s="1"/>
    </row>
    <row r="9" ht="17.6" spans="1:6">
      <c r="A9" s="1" t="s">
        <v>3</v>
      </c>
      <c r="B9" s="1">
        <v>2019</v>
      </c>
      <c r="C9" s="1">
        <v>0.2992148</v>
      </c>
      <c r="D9" s="1"/>
      <c r="E9" s="1"/>
      <c r="F9" s="1"/>
    </row>
    <row r="10" ht="17.6" spans="1:6">
      <c r="A10" s="1" t="s">
        <v>3</v>
      </c>
      <c r="B10" s="1">
        <v>2020</v>
      </c>
      <c r="C10" s="1">
        <v>0.2958162</v>
      </c>
      <c r="D10" s="1"/>
      <c r="E10" s="1"/>
      <c r="F10" s="1"/>
    </row>
    <row r="11" ht="17.6" spans="1:6">
      <c r="A11" s="1" t="s">
        <v>3</v>
      </c>
      <c r="B11" s="1">
        <v>2021</v>
      </c>
      <c r="C11" s="1">
        <v>0.3071155</v>
      </c>
      <c r="D11" s="1"/>
      <c r="E11" s="1"/>
      <c r="F11" s="1"/>
    </row>
    <row r="12" ht="17.6" spans="1:6">
      <c r="A12" s="1" t="s">
        <v>3</v>
      </c>
      <c r="B12" s="1">
        <v>2022</v>
      </c>
      <c r="C12" s="1">
        <v>0.307177505236</v>
      </c>
      <c r="D12" s="1"/>
      <c r="E12" s="1"/>
      <c r="F12" s="1"/>
    </row>
    <row r="13" ht="17.6" spans="1:6">
      <c r="A13" s="1" t="s">
        <v>4</v>
      </c>
      <c r="B13" s="1">
        <v>2012</v>
      </c>
      <c r="C13" s="1">
        <v>0.2293369</v>
      </c>
      <c r="D13" s="1"/>
      <c r="E13" s="1"/>
      <c r="F13" s="1"/>
    </row>
    <row r="14" ht="17.6" spans="1:6">
      <c r="A14" s="1" t="s">
        <v>4</v>
      </c>
      <c r="B14" s="1">
        <v>2013</v>
      </c>
      <c r="C14" s="1">
        <v>0.2301359</v>
      </c>
      <c r="D14" s="1"/>
      <c r="E14" s="1"/>
      <c r="F14" s="1"/>
    </row>
    <row r="15" ht="17.6" spans="1:6">
      <c r="A15" s="1" t="s">
        <v>4</v>
      </c>
      <c r="B15" s="1">
        <v>2014</v>
      </c>
      <c r="C15" s="1">
        <v>0.2464144</v>
      </c>
      <c r="D15" s="1"/>
      <c r="E15" s="1"/>
      <c r="F15" s="1"/>
    </row>
    <row r="16" ht="17.6" spans="1:6">
      <c r="A16" s="1" t="s">
        <v>4</v>
      </c>
      <c r="B16" s="1">
        <v>2015</v>
      </c>
      <c r="C16" s="1">
        <v>0.2371231</v>
      </c>
      <c r="D16" s="1"/>
      <c r="E16" s="1"/>
      <c r="F16" s="1"/>
    </row>
    <row r="17" ht="17.6" spans="1:6">
      <c r="A17" s="1" t="s">
        <v>4</v>
      </c>
      <c r="B17" s="1">
        <v>2016</v>
      </c>
      <c r="C17" s="1">
        <v>0.2590511</v>
      </c>
      <c r="D17" s="1"/>
      <c r="E17" s="1"/>
      <c r="F17" s="1"/>
    </row>
    <row r="18" ht="17.6" spans="1:6">
      <c r="A18" s="1" t="s">
        <v>4</v>
      </c>
      <c r="B18" s="1">
        <v>2017</v>
      </c>
      <c r="C18" s="1">
        <v>0.2667968</v>
      </c>
      <c r="D18" s="1"/>
      <c r="E18" s="1"/>
      <c r="F18" s="1"/>
    </row>
    <row r="19" ht="17.6" spans="1:6">
      <c r="A19" s="1" t="s">
        <v>4</v>
      </c>
      <c r="B19" s="1">
        <v>2018</v>
      </c>
      <c r="C19" s="1">
        <v>0.2760425</v>
      </c>
      <c r="D19" s="1"/>
      <c r="E19" s="1"/>
      <c r="F19" s="1"/>
    </row>
    <row r="20" ht="17.6" spans="1:6">
      <c r="A20" s="1" t="s">
        <v>4</v>
      </c>
      <c r="B20" s="1">
        <v>2019</v>
      </c>
      <c r="C20" s="1">
        <v>0.2508014</v>
      </c>
      <c r="D20" s="1"/>
      <c r="E20" s="1"/>
      <c r="F20" s="1"/>
    </row>
    <row r="21" ht="17.6" spans="1:6">
      <c r="A21" s="1" t="s">
        <v>4</v>
      </c>
      <c r="B21" s="1">
        <v>2020</v>
      </c>
      <c r="C21" s="1">
        <v>0.2413946</v>
      </c>
      <c r="D21" s="1"/>
      <c r="E21" s="1"/>
      <c r="F21" s="1"/>
    </row>
    <row r="22" ht="17.6" spans="1:6">
      <c r="A22" s="1" t="s">
        <v>4</v>
      </c>
      <c r="B22" s="1">
        <v>2021</v>
      </c>
      <c r="C22" s="1">
        <v>0.2094795</v>
      </c>
      <c r="D22" s="1"/>
      <c r="E22" s="1"/>
      <c r="F22" s="1"/>
    </row>
    <row r="23" ht="17.6" spans="1:6">
      <c r="A23" s="1" t="s">
        <v>4</v>
      </c>
      <c r="B23" s="1">
        <v>2022</v>
      </c>
      <c r="C23" s="1">
        <v>0.207905720035833</v>
      </c>
      <c r="D23" s="1"/>
      <c r="E23" s="1"/>
      <c r="F23" s="1"/>
    </row>
    <row r="24" ht="17.6" spans="1:6">
      <c r="A24" s="1" t="s">
        <v>5</v>
      </c>
      <c r="B24" s="1">
        <v>2012</v>
      </c>
      <c r="C24" s="1">
        <v>0.4181279</v>
      </c>
      <c r="D24" s="1"/>
      <c r="E24" s="1"/>
      <c r="F24" s="1"/>
    </row>
    <row r="25" ht="17.6" spans="1:6">
      <c r="A25" s="1" t="s">
        <v>5</v>
      </c>
      <c r="B25" s="1">
        <v>2013</v>
      </c>
      <c r="C25" s="1">
        <v>0.4291896</v>
      </c>
      <c r="D25" s="1"/>
      <c r="E25" s="1"/>
      <c r="F25" s="1"/>
    </row>
    <row r="26" ht="17.6" spans="1:6">
      <c r="A26" s="1" t="s">
        <v>5</v>
      </c>
      <c r="B26" s="1">
        <v>2014</v>
      </c>
      <c r="C26" s="1">
        <v>0.4028632</v>
      </c>
      <c r="D26" s="1"/>
      <c r="E26" s="1"/>
      <c r="F26" s="1"/>
    </row>
    <row r="27" ht="17.6" spans="1:6">
      <c r="A27" s="1" t="s">
        <v>5</v>
      </c>
      <c r="B27" s="1">
        <v>2015</v>
      </c>
      <c r="C27" s="1">
        <v>0.3981213</v>
      </c>
      <c r="D27" s="1"/>
      <c r="E27" s="1"/>
      <c r="F27" s="1"/>
    </row>
    <row r="28" ht="17.6" spans="1:6">
      <c r="A28" s="1" t="s">
        <v>5</v>
      </c>
      <c r="B28" s="1">
        <v>2016</v>
      </c>
      <c r="C28" s="1">
        <v>0.4175502</v>
      </c>
      <c r="D28" s="1"/>
      <c r="E28" s="1"/>
      <c r="F28" s="1"/>
    </row>
    <row r="29" ht="17.6" spans="1:6">
      <c r="A29" s="1" t="s">
        <v>5</v>
      </c>
      <c r="B29" s="1">
        <v>2017</v>
      </c>
      <c r="C29" s="1">
        <v>0.387852</v>
      </c>
      <c r="D29" s="1"/>
      <c r="E29" s="1"/>
      <c r="F29" s="1"/>
    </row>
    <row r="30" ht="17.6" spans="1:6">
      <c r="A30" s="1" t="s">
        <v>5</v>
      </c>
      <c r="B30" s="1">
        <v>2018</v>
      </c>
      <c r="C30" s="1">
        <v>0.3235819</v>
      </c>
      <c r="D30" s="1"/>
      <c r="E30" s="1"/>
      <c r="F30" s="1"/>
    </row>
    <row r="31" ht="17.6" spans="1:6">
      <c r="A31" s="1" t="s">
        <v>5</v>
      </c>
      <c r="B31" s="1">
        <v>2019</v>
      </c>
      <c r="C31" s="1">
        <v>0.3165974</v>
      </c>
      <c r="D31" s="1"/>
      <c r="E31" s="1"/>
      <c r="F31" s="1"/>
    </row>
    <row r="32" ht="17.6" spans="1:6">
      <c r="A32" s="1" t="s">
        <v>5</v>
      </c>
      <c r="B32" s="1">
        <v>2020</v>
      </c>
      <c r="C32" s="1">
        <v>0.3488586</v>
      </c>
      <c r="D32" s="1"/>
      <c r="E32" s="1"/>
      <c r="F32" s="1"/>
    </row>
    <row r="33" ht="17.6" spans="1:6">
      <c r="A33" s="1" t="s">
        <v>5</v>
      </c>
      <c r="B33" s="1">
        <v>2021</v>
      </c>
      <c r="C33" s="1">
        <v>0.3093735</v>
      </c>
      <c r="D33" s="1"/>
      <c r="E33" s="1"/>
      <c r="F33" s="1"/>
    </row>
    <row r="34" ht="17.6" spans="1:6">
      <c r="A34" s="1" t="s">
        <v>5</v>
      </c>
      <c r="B34" s="1">
        <v>2022</v>
      </c>
      <c r="C34" s="1">
        <v>0.30017633965841</v>
      </c>
      <c r="D34" s="1"/>
      <c r="E34" s="1"/>
      <c r="F34" s="1"/>
    </row>
    <row r="35" ht="17.6" spans="1:6">
      <c r="A35" s="1" t="s">
        <v>6</v>
      </c>
      <c r="B35" s="1">
        <v>2012</v>
      </c>
      <c r="C35" s="1">
        <v>0.3746464</v>
      </c>
      <c r="D35" s="1"/>
      <c r="E35" s="1"/>
      <c r="F35" s="1"/>
    </row>
    <row r="36" ht="17.6" spans="1:6">
      <c r="A36" s="1" t="s">
        <v>6</v>
      </c>
      <c r="B36" s="1">
        <v>2013</v>
      </c>
      <c r="C36" s="1">
        <v>0.404255</v>
      </c>
      <c r="D36" s="1"/>
      <c r="E36" s="1"/>
      <c r="F36" s="1"/>
    </row>
    <row r="37" ht="17.6" spans="1:6">
      <c r="A37" s="1" t="s">
        <v>6</v>
      </c>
      <c r="B37" s="1">
        <v>2014</v>
      </c>
      <c r="C37" s="1">
        <v>0.4291144</v>
      </c>
      <c r="D37" s="1"/>
      <c r="E37" s="1"/>
      <c r="F37" s="1"/>
    </row>
    <row r="38" ht="17.6" spans="1:6">
      <c r="A38" s="1" t="s">
        <v>6</v>
      </c>
      <c r="B38" s="1">
        <v>2015</v>
      </c>
      <c r="C38" s="1">
        <v>0.4178334</v>
      </c>
      <c r="D38" s="1"/>
      <c r="E38" s="1"/>
      <c r="F38" s="1"/>
    </row>
    <row r="39" ht="17.6" spans="1:6">
      <c r="A39" s="1" t="s">
        <v>6</v>
      </c>
      <c r="B39" s="1">
        <v>2016</v>
      </c>
      <c r="C39" s="1">
        <v>0.4256402</v>
      </c>
      <c r="D39" s="1"/>
      <c r="E39" s="1"/>
      <c r="F39" s="1"/>
    </row>
    <row r="40" ht="17.6" spans="1:6">
      <c r="A40" s="1" t="s">
        <v>6</v>
      </c>
      <c r="B40" s="1">
        <v>2017</v>
      </c>
      <c r="C40" s="1">
        <v>0.4142511</v>
      </c>
      <c r="D40" s="1"/>
      <c r="E40" s="1"/>
      <c r="F40" s="1"/>
    </row>
    <row r="41" ht="17.6" spans="1:6">
      <c r="A41" s="1" t="s">
        <v>6</v>
      </c>
      <c r="B41" s="1">
        <v>2018</v>
      </c>
      <c r="C41" s="1">
        <v>0.3989219</v>
      </c>
      <c r="D41" s="1"/>
      <c r="E41" s="1"/>
      <c r="F41" s="1"/>
    </row>
    <row r="42" ht="17.6" spans="1:6">
      <c r="A42" s="1" t="s">
        <v>6</v>
      </c>
      <c r="B42" s="1">
        <v>2019</v>
      </c>
      <c r="C42" s="1">
        <v>0.3776142</v>
      </c>
      <c r="D42" s="1"/>
      <c r="E42" s="1"/>
      <c r="F42" s="1"/>
    </row>
    <row r="43" ht="17.6" spans="1:6">
      <c r="A43" s="1" t="s">
        <v>6</v>
      </c>
      <c r="B43" s="1">
        <v>2020</v>
      </c>
      <c r="C43" s="1">
        <v>0.3743726</v>
      </c>
      <c r="D43" s="1"/>
      <c r="E43" s="1"/>
      <c r="F43" s="1"/>
    </row>
    <row r="44" ht="17.6" spans="1:6">
      <c r="A44" s="1" t="s">
        <v>6</v>
      </c>
      <c r="B44" s="1">
        <v>2021</v>
      </c>
      <c r="C44" s="1">
        <v>0.4001505</v>
      </c>
      <c r="D44" s="1"/>
      <c r="E44" s="1"/>
      <c r="F44" s="1"/>
    </row>
    <row r="45" ht="17.6" spans="1:6">
      <c r="A45" s="1" t="s">
        <v>6</v>
      </c>
      <c r="B45" s="1">
        <v>2022</v>
      </c>
      <c r="C45" s="1">
        <v>0.403530285122083</v>
      </c>
      <c r="D45" s="1"/>
      <c r="E45" s="1"/>
      <c r="F45" s="1"/>
    </row>
    <row r="46" ht="17.6" spans="1:6">
      <c r="A46" s="1" t="s">
        <v>7</v>
      </c>
      <c r="B46" s="1">
        <v>2012</v>
      </c>
      <c r="C46" s="1">
        <v>0.2766723</v>
      </c>
      <c r="D46" s="1"/>
      <c r="E46" s="1"/>
      <c r="F46" s="1"/>
    </row>
    <row r="47" ht="17.6" spans="1:6">
      <c r="A47" s="1" t="s">
        <v>7</v>
      </c>
      <c r="B47" s="1">
        <v>2013</v>
      </c>
      <c r="C47" s="1">
        <v>0.2876111</v>
      </c>
      <c r="D47" s="1"/>
      <c r="E47" s="1"/>
      <c r="F47" s="1"/>
    </row>
    <row r="48" ht="17.6" spans="1:6">
      <c r="A48" s="1" t="s">
        <v>7</v>
      </c>
      <c r="B48" s="1">
        <v>2014</v>
      </c>
      <c r="C48" s="1">
        <v>0.296231</v>
      </c>
      <c r="D48" s="1"/>
      <c r="E48" s="1"/>
      <c r="F48" s="1"/>
    </row>
    <row r="49" ht="17.6" spans="1:6">
      <c r="A49" s="1" t="s">
        <v>7</v>
      </c>
      <c r="B49" s="1">
        <v>2015</v>
      </c>
      <c r="C49" s="1">
        <v>0.2796167</v>
      </c>
      <c r="D49" s="1"/>
      <c r="E49" s="1"/>
      <c r="F49" s="1"/>
    </row>
    <row r="50" ht="17.6" spans="1:6">
      <c r="A50" s="1" t="s">
        <v>7</v>
      </c>
      <c r="B50" s="1">
        <v>2016</v>
      </c>
      <c r="C50" s="1">
        <v>0.2879413</v>
      </c>
      <c r="D50" s="1"/>
      <c r="E50" s="1"/>
      <c r="F50" s="1"/>
    </row>
    <row r="51" ht="17.6" spans="1:6">
      <c r="A51" s="1" t="s">
        <v>7</v>
      </c>
      <c r="B51" s="1">
        <v>2017</v>
      </c>
      <c r="C51" s="1">
        <v>0.2892322</v>
      </c>
      <c r="D51" s="1"/>
      <c r="E51" s="1"/>
      <c r="F51" s="1"/>
    </row>
    <row r="52" ht="17.6" spans="1:6">
      <c r="A52" s="1" t="s">
        <v>7</v>
      </c>
      <c r="B52" s="1">
        <v>2018</v>
      </c>
      <c r="C52" s="1">
        <v>0.2846712</v>
      </c>
      <c r="D52" s="1"/>
      <c r="E52" s="1"/>
      <c r="F52" s="1"/>
    </row>
    <row r="53" ht="17.6" spans="1:6">
      <c r="A53" s="1" t="s">
        <v>7</v>
      </c>
      <c r="B53" s="1">
        <v>2019</v>
      </c>
      <c r="C53" s="1">
        <v>0.2618695</v>
      </c>
      <c r="D53" s="1"/>
      <c r="E53" s="1"/>
      <c r="F53" s="1"/>
    </row>
    <row r="54" ht="17.6" spans="1:6">
      <c r="A54" s="1" t="s">
        <v>7</v>
      </c>
      <c r="B54" s="1">
        <v>2020</v>
      </c>
      <c r="C54" s="1">
        <v>0.28601</v>
      </c>
      <c r="D54" s="1"/>
      <c r="E54" s="1"/>
      <c r="F54" s="1"/>
    </row>
    <row r="55" ht="17.6" spans="1:6">
      <c r="A55" s="1" t="s">
        <v>7</v>
      </c>
      <c r="B55" s="1">
        <v>2021</v>
      </c>
      <c r="C55" s="1">
        <v>0.2532195</v>
      </c>
      <c r="D55" s="1"/>
      <c r="E55" s="1"/>
      <c r="F55" s="1"/>
    </row>
    <row r="56" ht="17.6" spans="1:6">
      <c r="A56" s="1" t="s">
        <v>7</v>
      </c>
      <c r="B56" s="1">
        <v>2022</v>
      </c>
      <c r="C56" s="1">
        <v>0.251231619678821</v>
      </c>
      <c r="D56" s="1"/>
      <c r="E56" s="1"/>
      <c r="F56" s="1"/>
    </row>
    <row r="57" ht="17.6" spans="1:6">
      <c r="A57" s="1" t="s">
        <v>8</v>
      </c>
      <c r="B57" s="1">
        <v>2012</v>
      </c>
      <c r="C57" s="1">
        <v>0.2973967</v>
      </c>
      <c r="D57" s="1"/>
      <c r="E57" s="1"/>
      <c r="F57" s="1"/>
    </row>
    <row r="58" ht="17.6" spans="1:6">
      <c r="A58" s="1" t="s">
        <v>8</v>
      </c>
      <c r="B58" s="1">
        <v>2013</v>
      </c>
      <c r="C58" s="1">
        <v>0.3239401</v>
      </c>
      <c r="D58" s="1"/>
      <c r="E58" s="1"/>
      <c r="F58" s="1"/>
    </row>
    <row r="59" ht="17.6" spans="1:6">
      <c r="A59" s="1" t="s">
        <v>8</v>
      </c>
      <c r="B59" s="1">
        <v>2014</v>
      </c>
      <c r="C59" s="1">
        <v>0.3211486</v>
      </c>
      <c r="D59" s="1"/>
      <c r="E59" s="1"/>
      <c r="F59" s="1"/>
    </row>
    <row r="60" ht="17.6" spans="1:6">
      <c r="A60" s="1" t="s">
        <v>8</v>
      </c>
      <c r="B60" s="1">
        <v>2015</v>
      </c>
      <c r="C60" s="1">
        <v>0.318272</v>
      </c>
      <c r="D60" s="1"/>
      <c r="E60" s="1"/>
      <c r="F60" s="1"/>
    </row>
    <row r="61" ht="17.6" spans="1:6">
      <c r="A61" s="1" t="s">
        <v>8</v>
      </c>
      <c r="B61" s="1">
        <v>2016</v>
      </c>
      <c r="C61" s="1">
        <v>0.3138624</v>
      </c>
      <c r="D61" s="1"/>
      <c r="E61" s="1"/>
      <c r="F61" s="1"/>
    </row>
    <row r="62" ht="17.6" spans="1:6">
      <c r="A62" s="1" t="s">
        <v>8</v>
      </c>
      <c r="B62" s="1">
        <v>2017</v>
      </c>
      <c r="C62" s="1">
        <v>0.3326896</v>
      </c>
      <c r="D62" s="1"/>
      <c r="E62" s="1"/>
      <c r="F62" s="1"/>
    </row>
    <row r="63" ht="17.6" spans="1:6">
      <c r="A63" s="1" t="s">
        <v>8</v>
      </c>
      <c r="B63" s="1">
        <v>2018</v>
      </c>
      <c r="C63" s="1">
        <v>0.30051</v>
      </c>
      <c r="D63" s="1"/>
      <c r="E63" s="1"/>
      <c r="F63" s="1"/>
    </row>
    <row r="64" ht="17.6" spans="1:6">
      <c r="A64" s="1" t="s">
        <v>8</v>
      </c>
      <c r="B64" s="1">
        <v>2019</v>
      </c>
      <c r="C64" s="1">
        <v>0.3387036</v>
      </c>
      <c r="D64" s="1"/>
      <c r="E64" s="1"/>
      <c r="F64" s="1"/>
    </row>
    <row r="65" ht="17.6" spans="1:6">
      <c r="A65" s="1" t="s">
        <v>8</v>
      </c>
      <c r="B65" s="1">
        <v>2020</v>
      </c>
      <c r="C65" s="1">
        <v>0.3824617</v>
      </c>
      <c r="D65" s="1"/>
      <c r="E65" s="1"/>
      <c r="F65" s="1"/>
    </row>
    <row r="66" ht="17.6" spans="1:6">
      <c r="A66" s="1" t="s">
        <v>8</v>
      </c>
      <c r="B66" s="1">
        <v>2021</v>
      </c>
      <c r="C66" s="1">
        <v>0.443994</v>
      </c>
      <c r="D66" s="1"/>
      <c r="E66" s="1"/>
      <c r="F66" s="1"/>
    </row>
    <row r="67" ht="17.6" spans="1:6">
      <c r="A67" s="1" t="s">
        <v>8</v>
      </c>
      <c r="B67" s="1">
        <v>2022</v>
      </c>
      <c r="C67" s="1">
        <v>0.465614374601407</v>
      </c>
      <c r="D67" s="1"/>
      <c r="E67" s="1"/>
      <c r="F67" s="1"/>
    </row>
    <row r="68" ht="17.6" spans="1:6">
      <c r="A68" s="1" t="s">
        <v>9</v>
      </c>
      <c r="B68" s="1">
        <v>2012</v>
      </c>
      <c r="C68" s="1">
        <v>0.4238761</v>
      </c>
      <c r="D68" s="1"/>
      <c r="E68" s="1"/>
      <c r="F68" s="1"/>
    </row>
    <row r="69" ht="17.6" spans="1:6">
      <c r="A69" s="1" t="s">
        <v>9</v>
      </c>
      <c r="B69" s="1">
        <v>2013</v>
      </c>
      <c r="C69" s="1">
        <v>0.4295725</v>
      </c>
      <c r="D69" s="1"/>
      <c r="E69" s="1"/>
      <c r="F69" s="1"/>
    </row>
    <row r="70" ht="17.6" spans="1:6">
      <c r="A70" s="1" t="s">
        <v>9</v>
      </c>
      <c r="B70" s="1">
        <v>2014</v>
      </c>
      <c r="C70" s="1">
        <v>0.4894183</v>
      </c>
      <c r="D70" s="1"/>
      <c r="E70" s="1"/>
      <c r="F70" s="1"/>
    </row>
    <row r="71" ht="17.6" spans="1:6">
      <c r="A71" s="1" t="s">
        <v>9</v>
      </c>
      <c r="B71" s="1">
        <v>2015</v>
      </c>
      <c r="C71" s="1">
        <v>0.4521762</v>
      </c>
      <c r="D71" s="1"/>
      <c r="E71" s="1"/>
      <c r="F71" s="1"/>
    </row>
    <row r="72" ht="17.6" spans="1:6">
      <c r="A72" s="1" t="s">
        <v>9</v>
      </c>
      <c r="B72" s="1">
        <v>2016</v>
      </c>
      <c r="C72" s="1">
        <v>0.4267854</v>
      </c>
      <c r="D72" s="1"/>
      <c r="E72" s="1"/>
      <c r="F72" s="1"/>
    </row>
    <row r="73" ht="17.6" spans="1:6">
      <c r="A73" s="1" t="s">
        <v>9</v>
      </c>
      <c r="B73" s="1">
        <v>2017</v>
      </c>
      <c r="C73" s="1">
        <v>0.4585495</v>
      </c>
      <c r="D73" s="1"/>
      <c r="E73" s="1"/>
      <c r="F73" s="1"/>
    </row>
    <row r="74" ht="17.6" spans="1:6">
      <c r="A74" s="1" t="s">
        <v>9</v>
      </c>
      <c r="B74" s="1">
        <v>2018</v>
      </c>
      <c r="C74" s="1">
        <v>0.4728156</v>
      </c>
      <c r="D74" s="1"/>
      <c r="E74" s="1"/>
      <c r="F74" s="1"/>
    </row>
    <row r="75" ht="17.6" spans="1:6">
      <c r="A75" s="1" t="s">
        <v>9</v>
      </c>
      <c r="B75" s="1">
        <v>2019</v>
      </c>
      <c r="C75" s="1">
        <v>0.5062694</v>
      </c>
      <c r="D75" s="1"/>
      <c r="E75" s="1"/>
      <c r="F75" s="1"/>
    </row>
    <row r="76" ht="17.6" spans="1:6">
      <c r="A76" s="1" t="s">
        <v>9</v>
      </c>
      <c r="B76" s="1">
        <v>2020</v>
      </c>
      <c r="C76" s="1">
        <v>0.4847689</v>
      </c>
      <c r="D76" s="1"/>
      <c r="E76" s="1"/>
      <c r="F76" s="1"/>
    </row>
    <row r="77" ht="17.6" spans="1:6">
      <c r="A77" s="1" t="s">
        <v>9</v>
      </c>
      <c r="B77" s="1">
        <v>2021</v>
      </c>
      <c r="C77" s="1">
        <v>0.4105884</v>
      </c>
      <c r="D77" s="1"/>
      <c r="E77" s="1"/>
      <c r="F77" s="1"/>
    </row>
    <row r="78" ht="17.6" spans="1:6">
      <c r="A78" s="1" t="s">
        <v>9</v>
      </c>
      <c r="B78" s="1">
        <v>2022</v>
      </c>
      <c r="C78" s="1">
        <v>0.410648065276501</v>
      </c>
      <c r="D78" s="1"/>
      <c r="E78" s="1"/>
      <c r="F78" s="1"/>
    </row>
    <row r="79" ht="17.6" spans="1:6">
      <c r="A79" s="1" t="s">
        <v>10</v>
      </c>
      <c r="B79" s="1">
        <v>2012</v>
      </c>
      <c r="C79" s="1">
        <v>0.3472108</v>
      </c>
      <c r="D79" s="1"/>
      <c r="E79" s="1"/>
      <c r="F79" s="1"/>
    </row>
    <row r="80" ht="17.6" spans="1:6">
      <c r="A80" s="1" t="s">
        <v>10</v>
      </c>
      <c r="B80" s="1">
        <v>2013</v>
      </c>
      <c r="C80" s="1">
        <v>0.3919064</v>
      </c>
      <c r="D80" s="1"/>
      <c r="E80" s="1"/>
      <c r="F80" s="1"/>
    </row>
    <row r="81" ht="17.6" spans="1:6">
      <c r="A81" s="1" t="s">
        <v>10</v>
      </c>
      <c r="B81" s="1">
        <v>2014</v>
      </c>
      <c r="C81" s="1">
        <v>0.4059776</v>
      </c>
      <c r="D81" s="1"/>
      <c r="E81" s="1"/>
      <c r="F81" s="1"/>
    </row>
    <row r="82" ht="17.6" spans="1:6">
      <c r="A82" s="1" t="s">
        <v>10</v>
      </c>
      <c r="B82" s="1">
        <v>2015</v>
      </c>
      <c r="C82" s="1">
        <v>0.3729987</v>
      </c>
      <c r="D82" s="1"/>
      <c r="E82" s="1"/>
      <c r="F82" s="1"/>
    </row>
    <row r="83" ht="17.6" spans="1:6">
      <c r="A83" s="1" t="s">
        <v>10</v>
      </c>
      <c r="B83" s="1">
        <v>2016</v>
      </c>
      <c r="C83" s="1">
        <v>0.4317182</v>
      </c>
      <c r="D83" s="1"/>
      <c r="E83" s="1"/>
      <c r="F83" s="1"/>
    </row>
    <row r="84" ht="17.6" spans="1:6">
      <c r="A84" s="1" t="s">
        <v>10</v>
      </c>
      <c r="B84" s="1">
        <v>2017</v>
      </c>
      <c r="C84" s="1">
        <v>0.3641713</v>
      </c>
      <c r="D84" s="1"/>
      <c r="E84" s="1"/>
      <c r="F84" s="1"/>
    </row>
    <row r="85" ht="17.6" spans="1:6">
      <c r="A85" s="1" t="s">
        <v>10</v>
      </c>
      <c r="B85" s="1">
        <v>2018</v>
      </c>
      <c r="C85" s="1">
        <v>0.3597908</v>
      </c>
      <c r="D85" s="1"/>
      <c r="E85" s="1"/>
      <c r="F85" s="1"/>
    </row>
    <row r="86" ht="17.6" spans="1:6">
      <c r="A86" s="1" t="s">
        <v>10</v>
      </c>
      <c r="B86" s="1">
        <v>2019</v>
      </c>
      <c r="C86" s="1">
        <v>0.4072383</v>
      </c>
      <c r="D86" s="1"/>
      <c r="E86" s="1"/>
      <c r="F86" s="1"/>
    </row>
    <row r="87" ht="17.6" spans="1:6">
      <c r="A87" s="1" t="s">
        <v>10</v>
      </c>
      <c r="B87" s="1">
        <v>2020</v>
      </c>
      <c r="C87" s="1">
        <v>0.395249</v>
      </c>
      <c r="D87" s="1"/>
      <c r="E87" s="1"/>
      <c r="F87" s="1"/>
    </row>
    <row r="88" ht="17.6" spans="1:6">
      <c r="A88" s="1" t="s">
        <v>10</v>
      </c>
      <c r="B88" s="1">
        <v>2021</v>
      </c>
      <c r="C88" s="1">
        <v>0.3176704</v>
      </c>
      <c r="D88" s="1"/>
      <c r="E88" s="1"/>
      <c r="F88" s="1"/>
    </row>
    <row r="89" ht="17.6" spans="1:6">
      <c r="A89" s="1" t="s">
        <v>10</v>
      </c>
      <c r="B89" s="1">
        <v>2022</v>
      </c>
      <c r="C89" s="1">
        <v>0.316911234231286</v>
      </c>
      <c r="D89" s="1"/>
      <c r="E89" s="1"/>
      <c r="F89" s="1"/>
    </row>
    <row r="90" ht="17.6" spans="1:6">
      <c r="A90" s="1" t="s">
        <v>11</v>
      </c>
      <c r="B90" s="1">
        <v>2012</v>
      </c>
      <c r="C90" s="1">
        <v>0.2464279</v>
      </c>
      <c r="D90" s="1"/>
      <c r="E90" s="1"/>
      <c r="F90" s="1"/>
    </row>
    <row r="91" ht="17.6" spans="1:6">
      <c r="A91" s="1" t="s">
        <v>11</v>
      </c>
      <c r="B91" s="1">
        <v>2013</v>
      </c>
      <c r="C91" s="1">
        <v>0.2628161</v>
      </c>
      <c r="D91" s="1"/>
      <c r="E91" s="1"/>
      <c r="F91" s="1"/>
    </row>
    <row r="92" ht="17.6" spans="1:6">
      <c r="A92" s="1" t="s">
        <v>11</v>
      </c>
      <c r="B92" s="1">
        <v>2014</v>
      </c>
      <c r="C92" s="1">
        <v>0.2675984</v>
      </c>
      <c r="D92" s="1"/>
      <c r="E92" s="1"/>
      <c r="F92" s="1"/>
    </row>
    <row r="93" ht="17.6" spans="1:6">
      <c r="A93" s="1" t="s">
        <v>11</v>
      </c>
      <c r="B93" s="1">
        <v>2015</v>
      </c>
      <c r="C93" s="1">
        <v>0.3063958</v>
      </c>
      <c r="D93" s="1"/>
      <c r="E93" s="1"/>
      <c r="F93" s="1"/>
    </row>
    <row r="94" ht="17.6" spans="1:6">
      <c r="A94" s="1" t="s">
        <v>11</v>
      </c>
      <c r="B94" s="1">
        <v>2016</v>
      </c>
      <c r="C94" s="1">
        <v>0.2932683</v>
      </c>
      <c r="D94" s="1"/>
      <c r="E94" s="1"/>
      <c r="F94" s="1"/>
    </row>
    <row r="95" ht="17.6" spans="1:6">
      <c r="A95" s="1" t="s">
        <v>11</v>
      </c>
      <c r="B95" s="1">
        <v>2017</v>
      </c>
      <c r="C95" s="1">
        <v>0.3484823</v>
      </c>
      <c r="D95" s="1"/>
      <c r="E95" s="1"/>
      <c r="F95" s="1"/>
    </row>
    <row r="96" ht="17.6" spans="1:6">
      <c r="A96" s="1" t="s">
        <v>11</v>
      </c>
      <c r="B96" s="1">
        <v>2018</v>
      </c>
      <c r="C96" s="1">
        <v>0.3059452</v>
      </c>
      <c r="D96" s="1"/>
      <c r="E96" s="1"/>
      <c r="F96" s="1"/>
    </row>
    <row r="97" ht="17.6" spans="1:6">
      <c r="A97" s="1" t="s">
        <v>11</v>
      </c>
      <c r="B97" s="1">
        <v>2019</v>
      </c>
      <c r="C97" s="1">
        <v>0.2979842</v>
      </c>
      <c r="D97" s="1"/>
      <c r="E97" s="1"/>
      <c r="F97" s="1"/>
    </row>
    <row r="98" ht="17.6" spans="1:6">
      <c r="A98" s="1" t="s">
        <v>11</v>
      </c>
      <c r="B98" s="1">
        <v>2020</v>
      </c>
      <c r="C98" s="1">
        <v>0.296605</v>
      </c>
      <c r="D98" s="1"/>
      <c r="E98" s="1"/>
      <c r="F98" s="1"/>
    </row>
    <row r="99" ht="17.6" spans="1:6">
      <c r="A99" s="1" t="s">
        <v>11</v>
      </c>
      <c r="B99" s="1">
        <v>2021</v>
      </c>
      <c r="C99" s="1">
        <v>0.3229594</v>
      </c>
      <c r="D99" s="1"/>
      <c r="E99" s="1"/>
      <c r="F99" s="1"/>
    </row>
    <row r="100" ht="17.6" spans="1:6">
      <c r="A100" s="1" t="s">
        <v>11</v>
      </c>
      <c r="B100" s="1">
        <v>2022</v>
      </c>
      <c r="C100" s="1">
        <v>0.334128400653067</v>
      </c>
      <c r="D100" s="1"/>
      <c r="E100" s="1"/>
      <c r="F100" s="1"/>
    </row>
    <row r="101" ht="17.6" spans="1:6">
      <c r="A101" s="1" t="s">
        <v>12</v>
      </c>
      <c r="B101" s="1">
        <v>2012</v>
      </c>
      <c r="C101" s="1">
        <v>0.3135114</v>
      </c>
      <c r="D101" s="1"/>
      <c r="E101" s="1"/>
      <c r="F101" s="1"/>
    </row>
    <row r="102" ht="17.6" spans="1:6">
      <c r="A102" s="1" t="s">
        <v>12</v>
      </c>
      <c r="B102" s="1">
        <v>2013</v>
      </c>
      <c r="C102" s="1">
        <v>0.3348217</v>
      </c>
      <c r="D102" s="1"/>
      <c r="E102" s="1"/>
      <c r="F102" s="1"/>
    </row>
    <row r="103" ht="17.6" spans="1:6">
      <c r="A103" s="1" t="s">
        <v>12</v>
      </c>
      <c r="B103" s="1">
        <v>2014</v>
      </c>
      <c r="C103" s="1">
        <v>0.3215558</v>
      </c>
      <c r="D103" s="1"/>
      <c r="E103" s="1"/>
      <c r="F103" s="1"/>
    </row>
    <row r="104" ht="17.6" spans="1:6">
      <c r="A104" s="1" t="s">
        <v>12</v>
      </c>
      <c r="B104" s="1">
        <v>2015</v>
      </c>
      <c r="C104" s="1">
        <v>0.3452952</v>
      </c>
      <c r="D104" s="1"/>
      <c r="E104" s="1"/>
      <c r="F104" s="1"/>
    </row>
    <row r="105" ht="17.6" spans="1:6">
      <c r="A105" s="1" t="s">
        <v>12</v>
      </c>
      <c r="B105" s="1">
        <v>2016</v>
      </c>
      <c r="C105" s="1">
        <v>0.3240382</v>
      </c>
      <c r="D105" s="1"/>
      <c r="E105" s="1"/>
      <c r="F105" s="1"/>
    </row>
    <row r="106" ht="17.6" spans="1:6">
      <c r="A106" s="1" t="s">
        <v>12</v>
      </c>
      <c r="B106" s="1">
        <v>2017</v>
      </c>
      <c r="C106" s="1">
        <v>0.3352524</v>
      </c>
      <c r="D106" s="1"/>
      <c r="E106" s="1"/>
      <c r="F106" s="1"/>
    </row>
    <row r="107" ht="17.6" spans="1:6">
      <c r="A107" s="1" t="s">
        <v>12</v>
      </c>
      <c r="B107" s="1">
        <v>2018</v>
      </c>
      <c r="C107" s="1">
        <v>0.4145906</v>
      </c>
      <c r="D107" s="1"/>
      <c r="E107" s="1"/>
      <c r="F107" s="1"/>
    </row>
    <row r="108" ht="17.6" spans="1:6">
      <c r="A108" s="1" t="s">
        <v>12</v>
      </c>
      <c r="B108" s="1">
        <v>2019</v>
      </c>
      <c r="C108" s="1">
        <v>0.3204454</v>
      </c>
      <c r="D108" s="1"/>
      <c r="E108" s="1"/>
      <c r="F108" s="1"/>
    </row>
    <row r="109" ht="17.6" spans="1:6">
      <c r="A109" s="1" t="s">
        <v>12</v>
      </c>
      <c r="B109" s="1">
        <v>2020</v>
      </c>
      <c r="C109" s="1">
        <v>0.3183067</v>
      </c>
      <c r="D109" s="1"/>
      <c r="E109" s="1"/>
      <c r="F109" s="1"/>
    </row>
    <row r="110" ht="17.6" spans="1:6">
      <c r="A110" s="1" t="s">
        <v>12</v>
      </c>
      <c r="B110" s="1">
        <v>2021</v>
      </c>
      <c r="C110" s="1">
        <v>0.3186311</v>
      </c>
      <c r="D110" s="1"/>
      <c r="E110" s="1"/>
      <c r="F110" s="1"/>
    </row>
    <row r="111" ht="17.6" spans="1:6">
      <c r="A111" s="1" t="s">
        <v>12</v>
      </c>
      <c r="B111" s="1">
        <v>2022</v>
      </c>
      <c r="C111" s="1">
        <v>0.321432997420517</v>
      </c>
      <c r="D111" s="1"/>
      <c r="E111" s="1"/>
      <c r="F111" s="1"/>
    </row>
    <row r="112" ht="17.6" spans="1:6">
      <c r="A112" s="1" t="s">
        <v>13</v>
      </c>
      <c r="B112" s="1">
        <v>2012</v>
      </c>
      <c r="C112" s="1">
        <v>0.4273924</v>
      </c>
      <c r="D112" s="1"/>
      <c r="E112" s="1"/>
      <c r="F112" s="1"/>
    </row>
    <row r="113" ht="17.6" spans="1:6">
      <c r="A113" s="1" t="s">
        <v>13</v>
      </c>
      <c r="B113" s="1">
        <v>2013</v>
      </c>
      <c r="C113" s="1">
        <v>0.409831</v>
      </c>
      <c r="D113" s="1"/>
      <c r="E113" s="1"/>
      <c r="F113" s="1"/>
    </row>
    <row r="114" ht="17.6" spans="1:6">
      <c r="A114" s="1" t="s">
        <v>13</v>
      </c>
      <c r="B114" s="1">
        <v>2014</v>
      </c>
      <c r="C114" s="1">
        <v>0.4283713</v>
      </c>
      <c r="D114" s="1"/>
      <c r="E114" s="1"/>
      <c r="F114" s="1"/>
    </row>
    <row r="115" ht="17.6" spans="1:6">
      <c r="A115" s="1" t="s">
        <v>13</v>
      </c>
      <c r="B115" s="1">
        <v>2015</v>
      </c>
      <c r="C115" s="1">
        <v>0.4416255</v>
      </c>
      <c r="D115" s="1"/>
      <c r="E115" s="1"/>
      <c r="F115" s="1"/>
    </row>
    <row r="116" ht="17.6" spans="1:6">
      <c r="A116" s="1" t="s">
        <v>13</v>
      </c>
      <c r="B116" s="1">
        <v>2016</v>
      </c>
      <c r="C116" s="1">
        <v>0.411328</v>
      </c>
      <c r="D116" s="1"/>
      <c r="E116" s="1"/>
      <c r="F116" s="1"/>
    </row>
    <row r="117" ht="17.6" spans="1:6">
      <c r="A117" s="1" t="s">
        <v>13</v>
      </c>
      <c r="B117" s="1">
        <v>2017</v>
      </c>
      <c r="C117" s="1">
        <v>0.4461081</v>
      </c>
      <c r="D117" s="1"/>
      <c r="E117" s="1"/>
      <c r="F117" s="1"/>
    </row>
    <row r="118" ht="17.6" spans="1:6">
      <c r="A118" s="1" t="s">
        <v>13</v>
      </c>
      <c r="B118" s="1">
        <v>2018</v>
      </c>
      <c r="C118" s="1">
        <v>0.4507251</v>
      </c>
      <c r="D118" s="1"/>
      <c r="E118" s="1"/>
      <c r="F118" s="1"/>
    </row>
    <row r="119" ht="17.6" spans="1:6">
      <c r="A119" s="1" t="s">
        <v>13</v>
      </c>
      <c r="B119" s="1">
        <v>2019</v>
      </c>
      <c r="C119" s="1">
        <v>0.4765793</v>
      </c>
      <c r="D119" s="1"/>
      <c r="E119" s="1"/>
      <c r="F119" s="1"/>
    </row>
    <row r="120" ht="17.6" spans="1:6">
      <c r="A120" s="1" t="s">
        <v>13</v>
      </c>
      <c r="B120" s="1">
        <v>2020</v>
      </c>
      <c r="C120" s="1">
        <v>0.4615463</v>
      </c>
      <c r="D120" s="1"/>
      <c r="E120" s="1"/>
      <c r="F120" s="1"/>
    </row>
    <row r="121" ht="17.6" spans="1:6">
      <c r="A121" s="1" t="s">
        <v>13</v>
      </c>
      <c r="B121" s="1">
        <v>2021</v>
      </c>
      <c r="C121" s="1">
        <v>0.4976552</v>
      </c>
      <c r="D121" s="1"/>
      <c r="E121" s="1"/>
      <c r="F121" s="1"/>
    </row>
    <row r="122" ht="17.6" spans="1:6">
      <c r="A122" s="1" t="s">
        <v>13</v>
      </c>
      <c r="B122" s="1">
        <v>2022</v>
      </c>
      <c r="C122" s="1">
        <v>0.5068033870334</v>
      </c>
      <c r="D122" s="1"/>
      <c r="E122" s="1"/>
      <c r="F122" s="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9"/>
  <sheetViews>
    <sheetView workbookViewId="0">
      <selection activeCell="I23" sqref="I23"/>
    </sheetView>
  </sheetViews>
  <sheetFormatPr defaultColWidth="9.23076923076923" defaultRowHeight="16.8" outlineLevelCol="4"/>
  <cols>
    <col min="1" max="5" width="13.4615384615385" customWidth="1"/>
  </cols>
  <sheetData>
    <row r="1" spans="1:5">
      <c r="A1" s="35" t="s">
        <v>0</v>
      </c>
      <c r="B1" s="35" t="s">
        <v>1</v>
      </c>
      <c r="C1" s="35" t="s">
        <v>14</v>
      </c>
      <c r="D1" s="35" t="s">
        <v>15</v>
      </c>
      <c r="E1" s="35" t="s">
        <v>16</v>
      </c>
    </row>
    <row r="2" spans="1:5">
      <c r="A2" s="36" t="s">
        <v>6</v>
      </c>
      <c r="B2" s="36">
        <v>2023</v>
      </c>
      <c r="C2" s="36">
        <v>0.384866034600142</v>
      </c>
      <c r="D2" s="36">
        <v>0.385398042187596</v>
      </c>
      <c r="E2" s="36">
        <v>0.37946644775345</v>
      </c>
    </row>
    <row r="3" spans="1:5">
      <c r="A3" s="36" t="s">
        <v>6</v>
      </c>
      <c r="B3" s="36">
        <v>2024</v>
      </c>
      <c r="C3" s="36">
        <v>0.385164786723846</v>
      </c>
      <c r="D3" s="36">
        <v>0.385507256038796</v>
      </c>
      <c r="E3" s="36">
        <v>0.380108550899269</v>
      </c>
    </row>
    <row r="4" spans="1:5">
      <c r="A4" s="36" t="s">
        <v>6</v>
      </c>
      <c r="B4" s="36">
        <v>2025</v>
      </c>
      <c r="C4" s="36">
        <v>0.385384851724692</v>
      </c>
      <c r="D4" s="36">
        <v>0.385571692365979</v>
      </c>
      <c r="E4" s="36">
        <v>0.380624489139374</v>
      </c>
    </row>
    <row r="5" spans="1:5">
      <c r="A5" s="36" t="s">
        <v>6</v>
      </c>
      <c r="B5" s="36">
        <v>2026</v>
      </c>
      <c r="C5" s="36">
        <v>0.385473236366113</v>
      </c>
      <c r="D5" s="36">
        <v>0.385574421100116</v>
      </c>
      <c r="E5" s="36">
        <v>0.380851664082848</v>
      </c>
    </row>
    <row r="6" spans="1:5">
      <c r="A6" s="36" t="s">
        <v>6</v>
      </c>
      <c r="B6" s="36">
        <v>2027</v>
      </c>
      <c r="C6" s="36">
        <v>0.385485882394484</v>
      </c>
      <c r="D6" s="36">
        <v>0.38555815029346</v>
      </c>
      <c r="E6" s="36">
        <v>0.380885130906696</v>
      </c>
    </row>
    <row r="7" spans="1:5">
      <c r="A7" s="36" t="s">
        <v>6</v>
      </c>
      <c r="B7" s="36">
        <v>2028</v>
      </c>
      <c r="C7" s="36">
        <v>0.385481805627976</v>
      </c>
      <c r="D7" s="36">
        <v>0.385559978247139</v>
      </c>
      <c r="E7" s="36">
        <v>0.380851326688437</v>
      </c>
    </row>
    <row r="8" spans="1:5">
      <c r="A8" s="36" t="s">
        <v>6</v>
      </c>
      <c r="B8" s="36">
        <v>2029</v>
      </c>
      <c r="C8" s="36">
        <v>0.385520382534513</v>
      </c>
      <c r="D8" s="36">
        <v>0.385617088724521</v>
      </c>
      <c r="E8" s="36">
        <v>0.380880724685379</v>
      </c>
    </row>
    <row r="9" spans="1:5">
      <c r="A9" s="36" t="s">
        <v>6</v>
      </c>
      <c r="B9" s="36">
        <v>2030</v>
      </c>
      <c r="C9" s="36">
        <v>0.385661865683029</v>
      </c>
      <c r="D9" s="36">
        <v>0.385767653669358</v>
      </c>
      <c r="E9" s="36">
        <v>0.381107534874462</v>
      </c>
    </row>
    <row r="10" spans="1:5">
      <c r="A10" s="36" t="s">
        <v>6</v>
      </c>
      <c r="B10" s="36">
        <v>2031</v>
      </c>
      <c r="C10" s="36">
        <v>0.385951463010448</v>
      </c>
      <c r="D10" s="36">
        <v>0.386039683520433</v>
      </c>
      <c r="E10" s="36">
        <v>0.381651030805155</v>
      </c>
    </row>
    <row r="11" spans="1:5">
      <c r="A11" s="36" t="s">
        <v>6</v>
      </c>
      <c r="B11" s="36">
        <v>2032</v>
      </c>
      <c r="C11" s="36">
        <v>0.386364079266239</v>
      </c>
      <c r="D11" s="36">
        <v>0.386412372991634</v>
      </c>
      <c r="E11" s="36">
        <v>0.382503706335795</v>
      </c>
    </row>
    <row r="12" spans="1:5">
      <c r="A12" s="36" t="s">
        <v>6</v>
      </c>
      <c r="B12" s="36">
        <v>2033</v>
      </c>
      <c r="C12" s="36">
        <v>0.386854470123109</v>
      </c>
      <c r="D12" s="36">
        <v>0.386850877219452</v>
      </c>
      <c r="E12" s="36">
        <v>0.383614100794261</v>
      </c>
    </row>
    <row r="13" spans="1:5">
      <c r="A13" s="36" t="s">
        <v>6</v>
      </c>
      <c r="B13" s="36">
        <v>2034</v>
      </c>
      <c r="C13" s="36">
        <v>0.387372604476045</v>
      </c>
      <c r="D13" s="36">
        <v>0.387317088465906</v>
      </c>
      <c r="E13" s="36">
        <v>0.384897218126626</v>
      </c>
    </row>
    <row r="14" spans="1:5">
      <c r="A14" s="36" t="s">
        <v>6</v>
      </c>
      <c r="B14" s="36">
        <v>2035</v>
      </c>
      <c r="C14" s="36">
        <v>0.387862453445255</v>
      </c>
      <c r="D14" s="36">
        <v>0.387768790451232</v>
      </c>
      <c r="E14" s="36">
        <v>0.386216714494955</v>
      </c>
    </row>
    <row r="15" spans="1:5">
      <c r="A15" s="36" t="s">
        <v>6</v>
      </c>
      <c r="B15" s="36">
        <v>2036</v>
      </c>
      <c r="C15" s="36">
        <v>0.388277022000267</v>
      </c>
      <c r="D15" s="36">
        <v>0.388170052981513</v>
      </c>
      <c r="E15" s="36">
        <v>0.387420395928365</v>
      </c>
    </row>
    <row r="16" spans="1:5">
      <c r="A16" s="36" t="s">
        <v>6</v>
      </c>
      <c r="B16" s="36">
        <v>2037</v>
      </c>
      <c r="C16" s="36">
        <v>0.388625674484026</v>
      </c>
      <c r="D16" s="36">
        <v>0.388524470652852</v>
      </c>
      <c r="E16" s="36">
        <v>0.388483567911967</v>
      </c>
    </row>
    <row r="17" spans="1:5">
      <c r="A17" s="36" t="s">
        <v>6</v>
      </c>
      <c r="B17" s="36">
        <v>2038</v>
      </c>
      <c r="C17" s="36">
        <v>0.388934619646513</v>
      </c>
      <c r="D17" s="36">
        <v>0.38884717553353</v>
      </c>
      <c r="E17" s="36">
        <v>0.389434623284226</v>
      </c>
    </row>
    <row r="18" spans="1:5">
      <c r="A18" s="36" t="s">
        <v>6</v>
      </c>
      <c r="B18" s="36">
        <v>2039</v>
      </c>
      <c r="C18" s="36">
        <v>0.389232177355869</v>
      </c>
      <c r="D18" s="36">
        <v>0.389154632837018</v>
      </c>
      <c r="E18" s="36">
        <v>0.390317774434367</v>
      </c>
    </row>
    <row r="19" spans="1:5">
      <c r="A19" s="36" t="s">
        <v>6</v>
      </c>
      <c r="B19" s="36">
        <v>2040</v>
      </c>
      <c r="C19" s="36">
        <v>0.38954833289523</v>
      </c>
      <c r="D19" s="36">
        <v>0.389464385016281</v>
      </c>
      <c r="E19" s="36">
        <v>0.391188856648645</v>
      </c>
    </row>
    <row r="20" spans="1:5">
      <c r="A20" s="36" t="s">
        <v>6</v>
      </c>
      <c r="B20" s="36">
        <v>2041</v>
      </c>
      <c r="C20" s="36">
        <v>0.389907677220639</v>
      </c>
      <c r="D20" s="36">
        <v>0.389791817445945</v>
      </c>
      <c r="E20" s="36">
        <v>0.392103783456435</v>
      </c>
    </row>
    <row r="21" spans="1:5">
      <c r="A21" s="36" t="s">
        <v>6</v>
      </c>
      <c r="B21" s="36">
        <v>2042</v>
      </c>
      <c r="C21" s="36">
        <v>0.390308221771151</v>
      </c>
      <c r="D21" s="36">
        <v>0.390140579635186</v>
      </c>
      <c r="E21" s="36">
        <v>0.393089777608164</v>
      </c>
    </row>
    <row r="22" spans="1:5">
      <c r="A22" s="36" t="s">
        <v>6</v>
      </c>
      <c r="B22" s="36">
        <v>2043</v>
      </c>
      <c r="C22" s="36">
        <v>0.39074062974507</v>
      </c>
      <c r="D22" s="36">
        <v>0.390511286271941</v>
      </c>
      <c r="E22" s="36">
        <v>0.39416701527991</v>
      </c>
    </row>
    <row r="23" spans="1:5">
      <c r="A23" s="36" t="s">
        <v>6</v>
      </c>
      <c r="B23" s="36">
        <v>2044</v>
      </c>
      <c r="C23" s="36">
        <v>0.391194922471339</v>
      </c>
      <c r="D23" s="36">
        <v>0.390904553723733</v>
      </c>
      <c r="E23" s="36">
        <v>0.395356611835467</v>
      </c>
    </row>
    <row r="24" spans="1:5">
      <c r="A24" s="36" t="s">
        <v>6</v>
      </c>
      <c r="B24" s="36">
        <v>2045</v>
      </c>
      <c r="C24" s="36">
        <v>0.391660426920558</v>
      </c>
      <c r="D24" s="36">
        <v>0.391320993211562</v>
      </c>
      <c r="E24" s="36">
        <v>0.396679981257298</v>
      </c>
    </row>
    <row r="25" spans="1:5">
      <c r="A25" s="36" t="s">
        <v>6</v>
      </c>
      <c r="B25" s="36">
        <v>2046</v>
      </c>
      <c r="C25" s="36">
        <v>0.39212915524055</v>
      </c>
      <c r="D25" s="36">
        <v>0.391760668114877</v>
      </c>
      <c r="E25" s="36">
        <v>0.398145035290674</v>
      </c>
    </row>
    <row r="26" spans="1:5">
      <c r="A26" s="36" t="s">
        <v>6</v>
      </c>
      <c r="B26" s="36">
        <v>2047</v>
      </c>
      <c r="C26" s="36">
        <v>0.392606374278024</v>
      </c>
      <c r="D26" s="36">
        <v>0.392221418171508</v>
      </c>
      <c r="E26" s="36">
        <v>0.399705104363637</v>
      </c>
    </row>
    <row r="27" spans="1:5">
      <c r="A27" s="36" t="s">
        <v>6</v>
      </c>
      <c r="B27" s="36">
        <v>2048</v>
      </c>
      <c r="C27" s="36">
        <v>0.393101105021679</v>
      </c>
      <c r="D27" s="36">
        <v>0.392700353806446</v>
      </c>
      <c r="E27" s="36">
        <v>0.401295086480394</v>
      </c>
    </row>
    <row r="28" spans="1:5">
      <c r="A28" s="36" t="s">
        <v>6</v>
      </c>
      <c r="B28" s="36">
        <v>2049</v>
      </c>
      <c r="C28" s="36">
        <v>0.393622810198669</v>
      </c>
      <c r="D28" s="36">
        <v>0.393194371471817</v>
      </c>
      <c r="E28" s="36">
        <v>0.402846986192517</v>
      </c>
    </row>
    <row r="29" spans="1:5">
      <c r="A29" s="36" t="s">
        <v>6</v>
      </c>
      <c r="B29" s="36">
        <v>2050</v>
      </c>
      <c r="C29" s="36">
        <v>0.394181370075165</v>
      </c>
      <c r="D29" s="36">
        <v>0.393700155992975</v>
      </c>
      <c r="E29" s="36">
        <v>0.40429384911829</v>
      </c>
    </row>
    <row r="30" spans="1:5">
      <c r="A30" s="36" t="s">
        <v>6</v>
      </c>
      <c r="B30" s="36">
        <v>2051</v>
      </c>
      <c r="C30" s="36">
        <v>0.394781958900754</v>
      </c>
      <c r="D30" s="36">
        <v>0.394214485856994</v>
      </c>
      <c r="E30" s="36">
        <v>0.405584102888039</v>
      </c>
    </row>
    <row r="31" spans="1:5">
      <c r="A31" s="36" t="s">
        <v>6</v>
      </c>
      <c r="B31" s="36">
        <v>2052</v>
      </c>
      <c r="C31" s="36">
        <v>0.395409567464632</v>
      </c>
      <c r="D31" s="36">
        <v>0.394735589587134</v>
      </c>
      <c r="E31" s="36">
        <v>0.406716859707953</v>
      </c>
    </row>
    <row r="32" spans="1:5">
      <c r="A32" s="36" t="s">
        <v>6</v>
      </c>
      <c r="B32" s="36">
        <v>2053</v>
      </c>
      <c r="C32" s="36">
        <v>0.396043103346915</v>
      </c>
      <c r="D32" s="36">
        <v>0.39526190901889</v>
      </c>
      <c r="E32" s="36">
        <v>0.407704785732242</v>
      </c>
    </row>
    <row r="33" spans="1:5">
      <c r="A33" s="36" t="s">
        <v>6</v>
      </c>
      <c r="B33" s="36">
        <v>2054</v>
      </c>
      <c r="C33" s="36">
        <v>0.396660516393963</v>
      </c>
      <c r="D33" s="36">
        <v>0.395791818961043</v>
      </c>
      <c r="E33" s="36">
        <v>0.408561713577161</v>
      </c>
    </row>
    <row r="34" spans="1:5">
      <c r="A34" s="36" t="s">
        <v>6</v>
      </c>
      <c r="B34" s="36">
        <v>2055</v>
      </c>
      <c r="C34" s="36">
        <v>0.397239047261946</v>
      </c>
      <c r="D34" s="36">
        <v>0.396323636958988</v>
      </c>
      <c r="E34" s="36">
        <v>0.409301811512554</v>
      </c>
    </row>
    <row r="35" spans="1:5">
      <c r="A35" s="36" t="s">
        <v>6</v>
      </c>
      <c r="B35" s="36">
        <v>2056</v>
      </c>
      <c r="C35" s="36">
        <v>0.397762741445639</v>
      </c>
      <c r="D35" s="36">
        <v>0.396857381523029</v>
      </c>
      <c r="E35" s="36">
        <v>0.409943438602172</v>
      </c>
    </row>
    <row r="36" spans="1:5">
      <c r="A36" s="36" t="s">
        <v>6</v>
      </c>
      <c r="B36" s="36">
        <v>2057</v>
      </c>
      <c r="C36" s="36">
        <v>0.398244670864227</v>
      </c>
      <c r="D36" s="36">
        <v>0.397400121649068</v>
      </c>
      <c r="E36" s="36">
        <v>0.410521488989864</v>
      </c>
    </row>
    <row r="37" spans="1:5">
      <c r="A37" s="36" t="s">
        <v>6</v>
      </c>
      <c r="B37" s="36">
        <v>2058</v>
      </c>
      <c r="C37" s="36">
        <v>0.398705753444081</v>
      </c>
      <c r="D37" s="36">
        <v>0.397960879256205</v>
      </c>
      <c r="E37" s="36">
        <v>0.411073332718876</v>
      </c>
    </row>
    <row r="38" spans="1:5">
      <c r="A38" s="36" t="s">
        <v>6</v>
      </c>
      <c r="B38" s="36">
        <v>2059</v>
      </c>
      <c r="C38" s="36">
        <v>0.39916739647785</v>
      </c>
      <c r="D38" s="36">
        <v>0.398548845815601</v>
      </c>
      <c r="E38" s="36">
        <v>0.411634277664892</v>
      </c>
    </row>
    <row r="39" spans="1:5">
      <c r="A39" s="36" t="s">
        <v>6</v>
      </c>
      <c r="B39" s="36">
        <v>2060</v>
      </c>
      <c r="C39" s="36">
        <v>0.399651342413186</v>
      </c>
      <c r="D39" s="36">
        <v>0.399173313225194</v>
      </c>
      <c r="E39" s="36">
        <v>0.412237301098215</v>
      </c>
    </row>
    <row r="40" spans="1:5">
      <c r="A40" s="36" t="s">
        <v>6</v>
      </c>
      <c r="B40" s="36">
        <v>2061</v>
      </c>
      <c r="C40" s="36">
        <v>0.400172603790827</v>
      </c>
      <c r="D40" s="36">
        <v>0.399838683034186</v>
      </c>
      <c r="E40" s="36">
        <v>0.412889214206406</v>
      </c>
    </row>
    <row r="41" spans="1:5">
      <c r="A41" s="36" t="s">
        <v>6</v>
      </c>
      <c r="B41" s="36">
        <v>2062</v>
      </c>
      <c r="C41" s="36">
        <v>0.400718387443374</v>
      </c>
      <c r="D41" s="36">
        <v>0.400529520540022</v>
      </c>
      <c r="E41" s="36">
        <v>0.413504710675663</v>
      </c>
    </row>
    <row r="42" spans="1:5">
      <c r="A42" s="36" t="s">
        <v>6</v>
      </c>
      <c r="B42" s="36">
        <v>2063</v>
      </c>
      <c r="C42" s="36">
        <v>0.401268719320654</v>
      </c>
      <c r="D42" s="36">
        <v>0.401225088299004</v>
      </c>
      <c r="E42" s="36">
        <v>0.413983530085718</v>
      </c>
    </row>
    <row r="43" spans="1:5">
      <c r="A43" s="36" t="s">
        <v>6</v>
      </c>
      <c r="B43" s="36">
        <v>2064</v>
      </c>
      <c r="C43" s="36">
        <v>0.401803489036961</v>
      </c>
      <c r="D43" s="36">
        <v>0.40190443910791</v>
      </c>
      <c r="E43" s="36">
        <v>0.414232241197533</v>
      </c>
    </row>
    <row r="44" spans="1:5">
      <c r="A44" s="36" t="s">
        <v>6</v>
      </c>
      <c r="B44" s="36">
        <v>2065</v>
      </c>
      <c r="C44" s="36">
        <v>0.402302603956958</v>
      </c>
      <c r="D44" s="36">
        <v>0.402546670711421</v>
      </c>
      <c r="E44" s="36">
        <v>0.414157096922855</v>
      </c>
    </row>
    <row r="45" spans="1:5">
      <c r="A45" s="36" t="s">
        <v>6</v>
      </c>
      <c r="B45" s="36">
        <v>2066</v>
      </c>
      <c r="C45" s="36">
        <v>0.402756182900689</v>
      </c>
      <c r="D45" s="36">
        <v>0.403139216756879</v>
      </c>
      <c r="E45" s="36">
        <v>0.413703174180667</v>
      </c>
    </row>
    <row r="46" spans="1:5">
      <c r="A46" s="36" t="s">
        <v>6</v>
      </c>
      <c r="B46" s="36">
        <v>2067</v>
      </c>
      <c r="C46" s="36">
        <v>0.403194710343957</v>
      </c>
      <c r="D46" s="36">
        <v>0.403702038390244</v>
      </c>
      <c r="E46" s="36">
        <v>0.413005393993509</v>
      </c>
    </row>
    <row r="47" spans="1:5">
      <c r="A47" s="36" t="s">
        <v>6</v>
      </c>
      <c r="B47" s="36">
        <v>2068</v>
      </c>
      <c r="C47" s="36">
        <v>0.403658595408687</v>
      </c>
      <c r="D47" s="36">
        <v>0.404263093494879</v>
      </c>
      <c r="E47" s="36">
        <v>0.412259306386555</v>
      </c>
    </row>
    <row r="48" spans="1:5">
      <c r="A48" s="36" t="s">
        <v>6</v>
      </c>
      <c r="B48" s="36">
        <v>2069</v>
      </c>
      <c r="C48" s="36">
        <v>0.404187854388379</v>
      </c>
      <c r="D48" s="36">
        <v>0.404850008221973</v>
      </c>
      <c r="E48" s="36">
        <v>0.411680611188834</v>
      </c>
    </row>
    <row r="49" spans="1:5">
      <c r="A49" s="36" t="s">
        <v>6</v>
      </c>
      <c r="B49" s="36">
        <v>2070</v>
      </c>
      <c r="C49" s="36">
        <v>0.404821724204568</v>
      </c>
      <c r="D49" s="36">
        <v>0.405489800001425</v>
      </c>
      <c r="E49" s="36">
        <v>0.411498263768808</v>
      </c>
    </row>
    <row r="50" spans="1:5">
      <c r="A50" s="36" t="s">
        <v>6</v>
      </c>
      <c r="B50" s="36">
        <v>2071</v>
      </c>
      <c r="C50" s="36">
        <v>0.405582274365554</v>
      </c>
      <c r="D50" s="36">
        <v>0.406199640772575</v>
      </c>
      <c r="E50" s="36">
        <v>0.411857119603666</v>
      </c>
    </row>
    <row r="51" spans="1:5">
      <c r="A51" s="36" t="s">
        <v>6</v>
      </c>
      <c r="B51" s="36">
        <v>2072</v>
      </c>
      <c r="C51" s="36">
        <v>0.406427421175725</v>
      </c>
      <c r="D51" s="36">
        <v>0.406960474924888</v>
      </c>
      <c r="E51" s="36">
        <v>0.412571256516119</v>
      </c>
    </row>
    <row r="52" spans="1:5">
      <c r="A52" s="36" t="s">
        <v>6</v>
      </c>
      <c r="B52" s="36">
        <v>2073</v>
      </c>
      <c r="C52" s="36">
        <v>0.407299929095371</v>
      </c>
      <c r="D52" s="36">
        <v>0.407744637189362</v>
      </c>
      <c r="E52" s="36">
        <v>0.413378493617948</v>
      </c>
    </row>
    <row r="53" spans="1:5">
      <c r="A53" s="36" t="s">
        <v>6</v>
      </c>
      <c r="B53" s="36">
        <v>2074</v>
      </c>
      <c r="C53" s="36">
        <v>0.408144525447643</v>
      </c>
      <c r="D53" s="36">
        <v>0.40852530118591</v>
      </c>
      <c r="E53" s="36">
        <v>0.41403835678203</v>
      </c>
    </row>
    <row r="54" spans="1:5">
      <c r="A54" s="36" t="s">
        <v>6</v>
      </c>
      <c r="B54" s="36">
        <v>2075</v>
      </c>
      <c r="C54" s="36">
        <v>0.408908944657859</v>
      </c>
      <c r="D54" s="36">
        <v>0.409276936607829</v>
      </c>
      <c r="E54" s="36">
        <v>0.414333224299339</v>
      </c>
    </row>
    <row r="55" spans="1:5">
      <c r="A55" s="36" t="s">
        <v>6</v>
      </c>
      <c r="B55" s="36">
        <v>2076</v>
      </c>
      <c r="C55" s="36">
        <v>0.409559391736735</v>
      </c>
      <c r="D55" s="36">
        <v>0.409981812007551</v>
      </c>
      <c r="E55" s="36">
        <v>0.414115902908105</v>
      </c>
    </row>
    <row r="56" spans="1:5">
      <c r="A56" s="36" t="s">
        <v>6</v>
      </c>
      <c r="B56" s="36">
        <v>2077</v>
      </c>
      <c r="C56" s="36">
        <v>0.410123711927381</v>
      </c>
      <c r="D56" s="36">
        <v>0.410647830846215</v>
      </c>
      <c r="E56" s="36">
        <v>0.413492864374358</v>
      </c>
    </row>
    <row r="57" spans="1:5">
      <c r="A57" s="36" t="s">
        <v>6</v>
      </c>
      <c r="B57" s="36">
        <v>2078</v>
      </c>
      <c r="C57" s="36">
        <v>0.410643110083796</v>
      </c>
      <c r="D57" s="36">
        <v>0.411288570576189</v>
      </c>
      <c r="E57" s="36">
        <v>0.412632835206396</v>
      </c>
    </row>
    <row r="58" spans="1:5">
      <c r="A58" s="36" t="s">
        <v>6</v>
      </c>
      <c r="B58" s="36">
        <v>2079</v>
      </c>
      <c r="C58" s="36">
        <v>0.411156759745512</v>
      </c>
      <c r="D58" s="36">
        <v>0.411916818598219</v>
      </c>
      <c r="E58" s="36">
        <v>0.411720521294084</v>
      </c>
    </row>
    <row r="59" spans="1:5">
      <c r="A59" s="36" t="s">
        <v>6</v>
      </c>
      <c r="B59" s="36">
        <v>2080</v>
      </c>
      <c r="C59" s="36">
        <v>0.411701700165098</v>
      </c>
      <c r="D59" s="36">
        <v>0.412544469523394</v>
      </c>
      <c r="E59" s="36">
        <v>0.410963665356803</v>
      </c>
    </row>
    <row r="60" spans="1:5">
      <c r="A60" s="36" t="s">
        <v>6</v>
      </c>
      <c r="B60" s="36">
        <v>2081</v>
      </c>
      <c r="C60" s="36">
        <v>0.412301741254539</v>
      </c>
      <c r="D60" s="36">
        <v>0.413178929548022</v>
      </c>
      <c r="E60" s="36">
        <v>0.410526634781102</v>
      </c>
    </row>
    <row r="61" spans="1:5">
      <c r="A61" s="36" t="s">
        <v>6</v>
      </c>
      <c r="B61" s="36">
        <v>2082</v>
      </c>
      <c r="C61" s="36">
        <v>0.412936582114315</v>
      </c>
      <c r="D61" s="36">
        <v>0.413813228614692</v>
      </c>
      <c r="E61" s="36">
        <v>0.410335768159963</v>
      </c>
    </row>
    <row r="62" spans="1:5">
      <c r="A62" s="36" t="s">
        <v>6</v>
      </c>
      <c r="B62" s="36">
        <v>2083</v>
      </c>
      <c r="C62" s="36">
        <v>0.413576722277903</v>
      </c>
      <c r="D62" s="36">
        <v>0.414437567913036</v>
      </c>
      <c r="E62" s="36">
        <v>0.410249468347263</v>
      </c>
    </row>
    <row r="63" spans="1:5">
      <c r="A63" s="36" t="s">
        <v>6</v>
      </c>
      <c r="B63" s="36">
        <v>2084</v>
      </c>
      <c r="C63" s="36">
        <v>0.414194997215217</v>
      </c>
      <c r="D63" s="36">
        <v>0.415043044186772</v>
      </c>
      <c r="E63" s="36">
        <v>0.410122622690335</v>
      </c>
    </row>
    <row r="64" spans="1:5">
      <c r="A64" s="36" t="s">
        <v>6</v>
      </c>
      <c r="B64" s="36">
        <v>2085</v>
      </c>
      <c r="C64" s="36">
        <v>0.414766835296776</v>
      </c>
      <c r="D64" s="36">
        <v>0.415621708063727</v>
      </c>
      <c r="E64" s="36">
        <v>0.409807926818269</v>
      </c>
    </row>
    <row r="65" spans="1:5">
      <c r="A65" s="36" t="s">
        <v>6</v>
      </c>
      <c r="B65" s="36">
        <v>2086</v>
      </c>
      <c r="C65" s="36">
        <v>0.415278205476021</v>
      </c>
      <c r="D65" s="36">
        <v>0.416167317361911</v>
      </c>
      <c r="E65" s="36">
        <v>0.409203428709926</v>
      </c>
    </row>
    <row r="66" spans="1:5">
      <c r="A66" s="36" t="s">
        <v>6</v>
      </c>
      <c r="B66" s="36">
        <v>2087</v>
      </c>
      <c r="C66" s="36">
        <v>0.415747864909299</v>
      </c>
      <c r="D66" s="36">
        <v>0.416677365213722</v>
      </c>
      <c r="E66" s="36">
        <v>0.408407279624184</v>
      </c>
    </row>
    <row r="67" spans="1:5">
      <c r="A67" s="36" t="s">
        <v>6</v>
      </c>
      <c r="B67" s="36">
        <v>2088</v>
      </c>
      <c r="C67" s="36">
        <v>0.416200671253448</v>
      </c>
      <c r="D67" s="36">
        <v>0.417150496086154</v>
      </c>
      <c r="E67" s="36">
        <v>0.407575768500856</v>
      </c>
    </row>
    <row r="68" spans="1:5">
      <c r="A68" s="36" t="s">
        <v>6</v>
      </c>
      <c r="B68" s="36">
        <v>2089</v>
      </c>
      <c r="C68" s="36">
        <v>0.41665929867575</v>
      </c>
      <c r="D68" s="36">
        <v>0.417585662851925</v>
      </c>
      <c r="E68" s="36">
        <v>0.406874803149687</v>
      </c>
    </row>
    <row r="69" spans="1:5">
      <c r="A69" s="36" t="s">
        <v>6</v>
      </c>
      <c r="B69" s="36">
        <v>2090</v>
      </c>
      <c r="C69" s="36">
        <v>0.41714412484924</v>
      </c>
      <c r="D69" s="36">
        <v>0.417982065290732</v>
      </c>
      <c r="E69" s="36">
        <v>0.406476189328642</v>
      </c>
    </row>
    <row r="70" spans="1:5">
      <c r="A70" s="36" t="s">
        <v>6</v>
      </c>
      <c r="B70" s="36">
        <v>2091</v>
      </c>
      <c r="C70" s="36">
        <v>0.417668037249674</v>
      </c>
      <c r="D70" s="36">
        <v>0.41834049514446</v>
      </c>
      <c r="E70" s="36">
        <v>0.406497520060923</v>
      </c>
    </row>
    <row r="71" spans="1:5">
      <c r="A71" s="36" t="s">
        <v>6</v>
      </c>
      <c r="B71" s="36">
        <v>2092</v>
      </c>
      <c r="C71" s="36">
        <v>0.418222781479679</v>
      </c>
      <c r="D71" s="36">
        <v>0.418667243082972</v>
      </c>
      <c r="E71" s="36">
        <v>0.406835409584823</v>
      </c>
    </row>
    <row r="72" spans="1:5">
      <c r="A72" s="36" t="s">
        <v>6</v>
      </c>
      <c r="B72" s="36">
        <v>2093</v>
      </c>
      <c r="C72" s="36">
        <v>0.41879567495618</v>
      </c>
      <c r="D72" s="36">
        <v>0.418969418874424</v>
      </c>
      <c r="E72" s="36">
        <v>0.407329817343401</v>
      </c>
    </row>
    <row r="73" spans="1:5">
      <c r="A73" s="36" t="s">
        <v>6</v>
      </c>
      <c r="B73" s="36">
        <v>2094</v>
      </c>
      <c r="C73" s="36">
        <v>0.419375016472329</v>
      </c>
      <c r="D73" s="36">
        <v>0.419253549665913</v>
      </c>
      <c r="E73" s="36">
        <v>0.407822713691395</v>
      </c>
    </row>
    <row r="74" spans="1:5">
      <c r="A74" s="36" t="s">
        <v>6</v>
      </c>
      <c r="B74" s="36">
        <v>2095</v>
      </c>
      <c r="C74" s="36">
        <v>0.419950312067964</v>
      </c>
      <c r="D74" s="36">
        <v>0.419525642262275</v>
      </c>
      <c r="E74" s="36">
        <v>0.408160473206116</v>
      </c>
    </row>
    <row r="75" spans="1:5">
      <c r="A75" s="36" t="s">
        <v>6</v>
      </c>
      <c r="B75" s="36">
        <v>2096</v>
      </c>
      <c r="C75" s="36">
        <v>0.420512432687196</v>
      </c>
      <c r="D75" s="36">
        <v>0.419791224569023</v>
      </c>
      <c r="E75" s="36">
        <v>0.408192496173068</v>
      </c>
    </row>
    <row r="76" spans="1:5">
      <c r="A76" s="36" t="s">
        <v>6</v>
      </c>
      <c r="B76" s="36">
        <v>2097</v>
      </c>
      <c r="C76" s="36">
        <v>0.421053697437518</v>
      </c>
      <c r="D76" s="36">
        <v>0.42005536610057</v>
      </c>
      <c r="E76" s="36">
        <v>0.407764957368842</v>
      </c>
    </row>
    <row r="77" spans="1:5">
      <c r="A77" s="36" t="s">
        <v>6</v>
      </c>
      <c r="B77" s="36">
        <v>2098</v>
      </c>
      <c r="C77" s="36">
        <v>0.421567882484381</v>
      </c>
      <c r="D77" s="36">
        <v>0.420322678107348</v>
      </c>
      <c r="E77" s="36">
        <v>0.406711162748855</v>
      </c>
    </row>
    <row r="78" spans="1:5">
      <c r="A78" s="36" t="s">
        <v>6</v>
      </c>
      <c r="B78" s="36">
        <v>2099</v>
      </c>
      <c r="C78" s="36">
        <v>0.422050161631277</v>
      </c>
      <c r="D78" s="36">
        <v>0.420597294437832</v>
      </c>
      <c r="E78" s="36">
        <v>0.404845551696725</v>
      </c>
    </row>
    <row r="79" spans="1:5">
      <c r="A79" s="36" t="s">
        <v>6</v>
      </c>
      <c r="B79" s="36">
        <v>2100</v>
      </c>
      <c r="C79" s="36">
        <v>0.422496989392596</v>
      </c>
      <c r="D79" s="36">
        <v>0.4208828348353</v>
      </c>
      <c r="E79" s="36">
        <v>0.40197897931736</v>
      </c>
    </row>
    <row r="80" spans="1:5">
      <c r="A80" s="36" t="s">
        <v>3</v>
      </c>
      <c r="B80" s="36">
        <v>2023</v>
      </c>
      <c r="C80" s="36">
        <v>0.348187006620038</v>
      </c>
      <c r="D80" s="36">
        <v>0.348774252475781</v>
      </c>
      <c r="E80" s="36">
        <v>0.347129373064662</v>
      </c>
    </row>
    <row r="81" spans="1:5">
      <c r="A81" s="36" t="s">
        <v>3</v>
      </c>
      <c r="B81" s="36">
        <v>2024</v>
      </c>
      <c r="C81" s="36">
        <v>0.348839686798027</v>
      </c>
      <c r="D81" s="36">
        <v>0.349142686071995</v>
      </c>
      <c r="E81" s="36">
        <v>0.34815805711044</v>
      </c>
    </row>
    <row r="82" spans="1:5">
      <c r="A82" s="36" t="s">
        <v>3</v>
      </c>
      <c r="B82" s="36">
        <v>2025</v>
      </c>
      <c r="C82" s="36">
        <v>0.349545016271961</v>
      </c>
      <c r="D82" s="36">
        <v>0.349582200904484</v>
      </c>
      <c r="E82" s="36">
        <v>0.34925197304692</v>
      </c>
    </row>
    <row r="83" spans="1:5">
      <c r="A83" s="36" t="s">
        <v>3</v>
      </c>
      <c r="B83" s="36">
        <v>2026</v>
      </c>
      <c r="C83" s="36">
        <v>0.349790381170439</v>
      </c>
      <c r="D83" s="36">
        <v>0.349720195167463</v>
      </c>
      <c r="E83" s="36">
        <v>0.349628734396254</v>
      </c>
    </row>
    <row r="84" spans="1:5">
      <c r="A84" s="36" t="s">
        <v>3</v>
      </c>
      <c r="B84" s="36">
        <v>2027</v>
      </c>
      <c r="C84" s="36">
        <v>0.350065831389655</v>
      </c>
      <c r="D84" s="36">
        <v>0.349909756841627</v>
      </c>
      <c r="E84" s="36">
        <v>0.350054790740037</v>
      </c>
    </row>
    <row r="85" spans="1:5">
      <c r="A85" s="36" t="s">
        <v>3</v>
      </c>
      <c r="B85" s="36">
        <v>2028</v>
      </c>
      <c r="C85" s="36">
        <v>0.350330362751016</v>
      </c>
      <c r="D85" s="36">
        <v>0.350105213192091</v>
      </c>
      <c r="E85" s="36">
        <v>0.35047542841458</v>
      </c>
    </row>
    <row r="86" spans="1:5">
      <c r="A86" s="36" t="s">
        <v>3</v>
      </c>
      <c r="B86" s="36">
        <v>2029</v>
      </c>
      <c r="C86" s="36">
        <v>0.350544742923614</v>
      </c>
      <c r="D86" s="36">
        <v>0.350262241695492</v>
      </c>
      <c r="E86" s="36">
        <v>0.350839601994179</v>
      </c>
    </row>
    <row r="87" spans="1:5">
      <c r="A87" s="36" t="s">
        <v>3</v>
      </c>
      <c r="B87" s="36">
        <v>2030</v>
      </c>
      <c r="C87" s="36">
        <v>0.35067103966082</v>
      </c>
      <c r="D87" s="36">
        <v>0.350337594755477</v>
      </c>
      <c r="E87" s="36">
        <v>0.351099419171607</v>
      </c>
    </row>
    <row r="88" spans="1:5">
      <c r="A88" s="36" t="s">
        <v>3</v>
      </c>
      <c r="B88" s="36">
        <v>2031</v>
      </c>
      <c r="C88" s="36">
        <v>0.350549890000562</v>
      </c>
      <c r="D88" s="36">
        <v>0.350213291012757</v>
      </c>
      <c r="E88" s="36">
        <v>0.351035996319159</v>
      </c>
    </row>
    <row r="89" spans="1:5">
      <c r="A89" s="36" t="s">
        <v>3</v>
      </c>
      <c r="B89" s="36">
        <v>2032</v>
      </c>
      <c r="C89" s="36">
        <v>0.350333034673614</v>
      </c>
      <c r="D89" s="36">
        <v>0.34999459994351</v>
      </c>
      <c r="E89" s="36">
        <v>0.350857698730128</v>
      </c>
    </row>
    <row r="90" spans="1:5">
      <c r="A90" s="36" t="s">
        <v>3</v>
      </c>
      <c r="B90" s="36">
        <v>2033</v>
      </c>
      <c r="C90" s="36">
        <v>0.350053663480204</v>
      </c>
      <c r="D90" s="36">
        <v>0.349713891756062</v>
      </c>
      <c r="E90" s="36">
        <v>0.350602708610337</v>
      </c>
    </row>
    <row r="91" spans="1:5">
      <c r="A91" s="36" t="s">
        <v>3</v>
      </c>
      <c r="B91" s="36">
        <v>2034</v>
      </c>
      <c r="C91" s="36">
        <v>0.349745979711698</v>
      </c>
      <c r="D91" s="36">
        <v>0.349404501032927</v>
      </c>
      <c r="E91" s="36">
        <v>0.35030997844617</v>
      </c>
    </row>
    <row r="92" spans="1:5">
      <c r="A92" s="36" t="s">
        <v>3</v>
      </c>
      <c r="B92" s="36">
        <v>2035</v>
      </c>
      <c r="C92" s="36">
        <v>0.349445841936296</v>
      </c>
      <c r="D92" s="36">
        <v>0.349101330682599</v>
      </c>
      <c r="E92" s="36">
        <v>0.350020232184558</v>
      </c>
    </row>
    <row r="93" spans="1:5">
      <c r="A93" s="36" t="s">
        <v>3</v>
      </c>
      <c r="B93" s="36">
        <v>2036</v>
      </c>
      <c r="C93" s="36">
        <v>0.349173130514704</v>
      </c>
      <c r="D93" s="36">
        <v>0.348824787737254</v>
      </c>
      <c r="E93" s="36">
        <v>0.349750136378628</v>
      </c>
    </row>
    <row r="94" spans="1:5">
      <c r="A94" s="36" t="s">
        <v>3</v>
      </c>
      <c r="B94" s="36">
        <v>2037</v>
      </c>
      <c r="C94" s="36">
        <v>0.348926790661373</v>
      </c>
      <c r="D94" s="36">
        <v>0.348576249839959</v>
      </c>
      <c r="E94" s="36">
        <v>0.349510597537293</v>
      </c>
    </row>
    <row r="95" spans="1:5">
      <c r="A95" s="36" t="s">
        <v>3</v>
      </c>
      <c r="B95" s="36">
        <v>2038</v>
      </c>
      <c r="C95" s="36">
        <v>0.348687679029094</v>
      </c>
      <c r="D95" s="36">
        <v>0.348340669569703</v>
      </c>
      <c r="E95" s="36">
        <v>0.34928655438257</v>
      </c>
    </row>
    <row r="96" spans="1:5">
      <c r="A96" s="36" t="s">
        <v>3</v>
      </c>
      <c r="B96" s="36">
        <v>2039</v>
      </c>
      <c r="C96" s="36">
        <v>0.348435894542602</v>
      </c>
      <c r="D96" s="36">
        <v>0.348102399754973</v>
      </c>
      <c r="E96" s="36">
        <v>0.349062302951083</v>
      </c>
    </row>
    <row r="97" spans="1:5">
      <c r="A97" s="36" t="s">
        <v>3</v>
      </c>
      <c r="B97" s="36">
        <v>2040</v>
      </c>
      <c r="C97" s="36">
        <v>0.34815078430762</v>
      </c>
      <c r="D97" s="36">
        <v>0.34784524268313</v>
      </c>
      <c r="E97" s="36">
        <v>0.348821563639443</v>
      </c>
    </row>
    <row r="98" spans="1:5">
      <c r="A98" s="36" t="s">
        <v>3</v>
      </c>
      <c r="B98" s="36">
        <v>2041</v>
      </c>
      <c r="C98" s="36">
        <v>0.34767178980716</v>
      </c>
      <c r="D98" s="36">
        <v>0.347475861588115</v>
      </c>
      <c r="E98" s="36">
        <v>0.348365573342527</v>
      </c>
    </row>
    <row r="99" spans="1:5">
      <c r="A99" s="36" t="s">
        <v>3</v>
      </c>
      <c r="B99" s="36">
        <v>2042</v>
      </c>
      <c r="C99" s="36">
        <v>0.347148810247976</v>
      </c>
      <c r="D99" s="36">
        <v>0.347073098819074</v>
      </c>
      <c r="E99" s="36">
        <v>0.347874697453892</v>
      </c>
    </row>
    <row r="100" spans="1:5">
      <c r="A100" s="36" t="s">
        <v>3</v>
      </c>
      <c r="B100" s="36">
        <v>2043</v>
      </c>
      <c r="C100" s="36">
        <v>0.346599337311381</v>
      </c>
      <c r="D100" s="36">
        <v>0.346642078053561</v>
      </c>
      <c r="E100" s="36">
        <v>0.347355131167333</v>
      </c>
    </row>
    <row r="101" spans="1:5">
      <c r="A101" s="36" t="s">
        <v>3</v>
      </c>
      <c r="B101" s="36">
        <v>2044</v>
      </c>
      <c r="C101" s="36">
        <v>0.346042168347071</v>
      </c>
      <c r="D101" s="36">
        <v>0.346188226635623</v>
      </c>
      <c r="E101" s="36">
        <v>0.346813580890648</v>
      </c>
    </row>
    <row r="102" spans="1:5">
      <c r="A102" s="36" t="s">
        <v>3</v>
      </c>
      <c r="B102" s="36">
        <v>2045</v>
      </c>
      <c r="C102" s="36">
        <v>0.345497401065949</v>
      </c>
      <c r="D102" s="36">
        <v>0.345717308113344</v>
      </c>
      <c r="E102" s="36">
        <v>0.346257294393297</v>
      </c>
    </row>
    <row r="103" spans="1:5">
      <c r="A103" s="36" t="s">
        <v>3</v>
      </c>
      <c r="B103" s="36">
        <v>2046</v>
      </c>
      <c r="C103" s="36">
        <v>0.344979042917835</v>
      </c>
      <c r="D103" s="36">
        <v>0.345228319882093</v>
      </c>
      <c r="E103" s="36">
        <v>0.345688114616824</v>
      </c>
    </row>
    <row r="104" spans="1:5">
      <c r="A104" s="36" t="s">
        <v>3</v>
      </c>
      <c r="B104" s="36">
        <v>2047</v>
      </c>
      <c r="C104" s="36">
        <v>0.344479854246464</v>
      </c>
      <c r="D104" s="36">
        <v>0.344727584691058</v>
      </c>
      <c r="E104" s="36">
        <v>0.345108081789828</v>
      </c>
    </row>
    <row r="105" spans="1:5">
      <c r="A105" s="36" t="s">
        <v>3</v>
      </c>
      <c r="B105" s="36">
        <v>2048</v>
      </c>
      <c r="C105" s="36">
        <v>0.343984606292798</v>
      </c>
      <c r="D105" s="36">
        <v>0.344214536745216</v>
      </c>
      <c r="E105" s="36">
        <v>0.344513288111546</v>
      </c>
    </row>
    <row r="106" spans="1:5">
      <c r="A106" s="36" t="s">
        <v>3</v>
      </c>
      <c r="B106" s="36">
        <v>2049</v>
      </c>
      <c r="C106" s="36">
        <v>0.343477248851953</v>
      </c>
      <c r="D106" s="36">
        <v>0.343688604115347</v>
      </c>
      <c r="E106" s="36">
        <v>0.343899610869352</v>
      </c>
    </row>
    <row r="107" spans="1:5">
      <c r="A107" s="36" t="s">
        <v>3</v>
      </c>
      <c r="B107" s="36">
        <v>2050</v>
      </c>
      <c r="C107" s="36">
        <v>0.34294097058622</v>
      </c>
      <c r="D107" s="36">
        <v>0.343149211338307</v>
      </c>
      <c r="E107" s="36">
        <v>0.343262725565814</v>
      </c>
    </row>
    <row r="108" spans="1:5">
      <c r="A108" s="36" t="s">
        <v>3</v>
      </c>
      <c r="B108" s="36">
        <v>2051</v>
      </c>
      <c r="C108" s="36">
        <v>0.342246647801031</v>
      </c>
      <c r="D108" s="36">
        <v>0.342476268204864</v>
      </c>
      <c r="E108" s="36">
        <v>0.342370712840637</v>
      </c>
    </row>
    <row r="109" spans="1:5">
      <c r="A109" s="36" t="s">
        <v>3</v>
      </c>
      <c r="B109" s="36">
        <v>2052</v>
      </c>
      <c r="C109" s="36">
        <v>0.341502891081123</v>
      </c>
      <c r="D109" s="36">
        <v>0.341780840100159</v>
      </c>
      <c r="E109" s="36">
        <v>0.341440770087835</v>
      </c>
    </row>
    <row r="110" spans="1:5">
      <c r="A110" s="36" t="s">
        <v>3</v>
      </c>
      <c r="B110" s="36">
        <v>2053</v>
      </c>
      <c r="C110" s="36">
        <v>0.340710206486116</v>
      </c>
      <c r="D110" s="36">
        <v>0.341057854943991</v>
      </c>
      <c r="E110" s="36">
        <v>0.340471290101572</v>
      </c>
    </row>
    <row r="111" spans="1:5">
      <c r="A111" s="36" t="s">
        <v>3</v>
      </c>
      <c r="B111" s="36">
        <v>2054</v>
      </c>
      <c r="C111" s="36">
        <v>0.3398693423427</v>
      </c>
      <c r="D111" s="36">
        <v>0.340302070142571</v>
      </c>
      <c r="E111" s="36">
        <v>0.339460807437894</v>
      </c>
    </row>
    <row r="112" spans="1:5">
      <c r="A112" s="36" t="s">
        <v>3</v>
      </c>
      <c r="B112" s="36">
        <v>2055</v>
      </c>
      <c r="C112" s="36">
        <v>0.338981328992357</v>
      </c>
      <c r="D112" s="36">
        <v>0.339508106609947</v>
      </c>
      <c r="E112" s="36">
        <v>0.338408045241976</v>
      </c>
    </row>
    <row r="113" spans="1:5">
      <c r="A113" s="36" t="s">
        <v>3</v>
      </c>
      <c r="B113" s="36">
        <v>2056</v>
      </c>
      <c r="C113" s="36">
        <v>0.338051699064792</v>
      </c>
      <c r="D113" s="36">
        <v>0.338673235715239</v>
      </c>
      <c r="E113" s="36">
        <v>0.33731937957588</v>
      </c>
    </row>
    <row r="114" spans="1:5">
      <c r="A114" s="36" t="s">
        <v>3</v>
      </c>
      <c r="B114" s="36">
        <v>2057</v>
      </c>
      <c r="C114" s="36">
        <v>0.337103413625747</v>
      </c>
      <c r="D114" s="36">
        <v>0.337805894817005</v>
      </c>
      <c r="E114" s="36">
        <v>0.336231742168705</v>
      </c>
    </row>
    <row r="115" spans="1:5">
      <c r="A115" s="36" t="s">
        <v>3</v>
      </c>
      <c r="B115" s="36">
        <v>2058</v>
      </c>
      <c r="C115" s="36">
        <v>0.336164779139738</v>
      </c>
      <c r="D115" s="36">
        <v>0.336917856825904</v>
      </c>
      <c r="E115" s="36">
        <v>0.33519110299811</v>
      </c>
    </row>
    <row r="116" spans="1:5">
      <c r="A116" s="36" t="s">
        <v>3</v>
      </c>
      <c r="B116" s="36">
        <v>2059</v>
      </c>
      <c r="C116" s="36">
        <v>0.335264982549533</v>
      </c>
      <c r="D116" s="36">
        <v>0.336021455062475</v>
      </c>
      <c r="E116" s="36">
        <v>0.334244356089247</v>
      </c>
    </row>
    <row r="117" spans="1:5">
      <c r="A117" s="36" t="s">
        <v>3</v>
      </c>
      <c r="B117" s="36">
        <v>2060</v>
      </c>
      <c r="C117" s="36">
        <v>0.334433657646458</v>
      </c>
      <c r="D117" s="36">
        <v>0.335129453034489</v>
      </c>
      <c r="E117" s="36">
        <v>0.333438467460998</v>
      </c>
    </row>
    <row r="118" spans="1:5">
      <c r="A118" s="36" t="s">
        <v>3</v>
      </c>
      <c r="B118" s="36">
        <v>2061</v>
      </c>
      <c r="C118" s="36">
        <v>0.333689546844362</v>
      </c>
      <c r="D118" s="36">
        <v>0.33425331907013</v>
      </c>
      <c r="E118" s="36">
        <v>0.332800500006384</v>
      </c>
    </row>
    <row r="119" spans="1:5">
      <c r="A119" s="36" t="s">
        <v>3</v>
      </c>
      <c r="B119" s="36">
        <v>2062</v>
      </c>
      <c r="C119" s="36">
        <v>0.333007195560964</v>
      </c>
      <c r="D119" s="36">
        <v>0.333398303769571</v>
      </c>
      <c r="E119" s="36">
        <v>0.332279100844538</v>
      </c>
    </row>
    <row r="120" spans="1:5">
      <c r="A120" s="36" t="s">
        <v>3</v>
      </c>
      <c r="B120" s="36">
        <v>2063</v>
      </c>
      <c r="C120" s="36">
        <v>0.33234948838438</v>
      </c>
      <c r="D120" s="36">
        <v>0.33256797511903</v>
      </c>
      <c r="E120" s="36">
        <v>0.331802653796212</v>
      </c>
    </row>
    <row r="121" spans="1:5">
      <c r="A121" s="36" t="s">
        <v>3</v>
      </c>
      <c r="B121" s="36">
        <v>2064</v>
      </c>
      <c r="C121" s="36">
        <v>0.331678882975503</v>
      </c>
      <c r="D121" s="36">
        <v>0.331765748222132</v>
      </c>
      <c r="E121" s="36">
        <v>0.331299136359418</v>
      </c>
    </row>
    <row r="122" spans="1:5">
      <c r="A122" s="36" t="s">
        <v>3</v>
      </c>
      <c r="B122" s="36">
        <v>2065</v>
      </c>
      <c r="C122" s="36">
        <v>0.330957699488131</v>
      </c>
      <c r="D122" s="36">
        <v>0.330994867207456</v>
      </c>
      <c r="E122" s="36">
        <v>0.330696449522958</v>
      </c>
    </row>
    <row r="123" spans="1:5">
      <c r="A123" s="36" t="s">
        <v>3</v>
      </c>
      <c r="B123" s="36">
        <v>2066</v>
      </c>
      <c r="C123" s="36">
        <v>0.330158378038748</v>
      </c>
      <c r="D123" s="36">
        <v>0.330251543654896</v>
      </c>
      <c r="E123" s="36">
        <v>0.329941393721445</v>
      </c>
    </row>
    <row r="124" spans="1:5">
      <c r="A124" s="36" t="s">
        <v>3</v>
      </c>
      <c r="B124" s="36">
        <v>2067</v>
      </c>
      <c r="C124" s="36">
        <v>0.32929361686944</v>
      </c>
      <c r="D124" s="36">
        <v>0.32950448248475</v>
      </c>
      <c r="E124" s="36">
        <v>0.329055882619044</v>
      </c>
    </row>
    <row r="125" spans="1:5">
      <c r="A125" s="36" t="s">
        <v>3</v>
      </c>
      <c r="B125" s="36">
        <v>2068</v>
      </c>
      <c r="C125" s="36">
        <v>0.328386410742579</v>
      </c>
      <c r="D125" s="36">
        <v>0.328715730642677</v>
      </c>
      <c r="E125" s="36">
        <v>0.328081096463454</v>
      </c>
    </row>
    <row r="126" spans="1:5">
      <c r="A126" s="36" t="s">
        <v>3</v>
      </c>
      <c r="B126" s="36">
        <v>2069</v>
      </c>
      <c r="C126" s="36">
        <v>0.327459858006823</v>
      </c>
      <c r="D126" s="36">
        <v>0.327847925809237</v>
      </c>
      <c r="E126" s="36">
        <v>0.327058519504611</v>
      </c>
    </row>
    <row r="127" spans="1:5">
      <c r="A127" s="36" t="s">
        <v>3</v>
      </c>
      <c r="B127" s="36">
        <v>2070</v>
      </c>
      <c r="C127" s="36">
        <v>0.326536872476913</v>
      </c>
      <c r="D127" s="36">
        <v>0.326864852753816</v>
      </c>
      <c r="E127" s="36">
        <v>0.326029353765231</v>
      </c>
    </row>
    <row r="128" spans="1:5">
      <c r="A128" s="36" t="s">
        <v>3</v>
      </c>
      <c r="B128" s="36">
        <v>2071</v>
      </c>
      <c r="C128" s="36">
        <v>0.325636866463096</v>
      </c>
      <c r="D128" s="36">
        <v>0.325750943502071</v>
      </c>
      <c r="E128" s="36">
        <v>0.325028768106555</v>
      </c>
    </row>
    <row r="129" spans="1:5">
      <c r="A129" s="36" t="s">
        <v>3</v>
      </c>
      <c r="B129" s="36">
        <v>2072</v>
      </c>
      <c r="C129" s="36">
        <v>0.324766645656303</v>
      </c>
      <c r="D129" s="36">
        <v>0.324566684814627</v>
      </c>
      <c r="E129" s="36">
        <v>0.324070507134692</v>
      </c>
    </row>
    <row r="130" spans="1:5">
      <c r="A130" s="36" t="s">
        <v>3</v>
      </c>
      <c r="B130" s="36">
        <v>2073</v>
      </c>
      <c r="C130" s="36">
        <v>0.323929674426075</v>
      </c>
      <c r="D130" s="36">
        <v>0.32338953469138</v>
      </c>
      <c r="E130" s="36">
        <v>0.323162536018771</v>
      </c>
    </row>
    <row r="131" spans="1:5">
      <c r="A131" s="36" t="s">
        <v>3</v>
      </c>
      <c r="B131" s="36">
        <v>2074</v>
      </c>
      <c r="C131" s="36">
        <v>0.3231291200354</v>
      </c>
      <c r="D131" s="36">
        <v>0.322293213167513</v>
      </c>
      <c r="E131" s="36">
        <v>0.322312163042098</v>
      </c>
    </row>
    <row r="132" spans="1:5">
      <c r="A132" s="36" t="s">
        <v>3</v>
      </c>
      <c r="B132" s="36">
        <v>2075</v>
      </c>
      <c r="C132" s="36">
        <v>0.322367851301147</v>
      </c>
      <c r="D132" s="36">
        <v>0.321346575766036</v>
      </c>
      <c r="E132" s="36">
        <v>0.321526047094782</v>
      </c>
    </row>
    <row r="133" spans="1:5">
      <c r="A133" s="36" t="s">
        <v>3</v>
      </c>
      <c r="B133" s="36">
        <v>2076</v>
      </c>
      <c r="C133" s="36">
        <v>0.321642258835482</v>
      </c>
      <c r="D133" s="36">
        <v>0.320590795281931</v>
      </c>
      <c r="E133" s="36">
        <v>0.320800320660063</v>
      </c>
    </row>
    <row r="134" spans="1:5">
      <c r="A134" s="36" t="s">
        <v>3</v>
      </c>
      <c r="B134" s="36">
        <v>2077</v>
      </c>
      <c r="C134" s="36">
        <v>0.320924295514787</v>
      </c>
      <c r="D134" s="36">
        <v>0.319974100421654</v>
      </c>
      <c r="E134" s="36">
        <v>0.320091903626513</v>
      </c>
    </row>
    <row r="135" spans="1:5">
      <c r="A135" s="36" t="s">
        <v>3</v>
      </c>
      <c r="B135" s="36">
        <v>2078</v>
      </c>
      <c r="C135" s="36">
        <v>0.320181200503246</v>
      </c>
      <c r="D135" s="36">
        <v>0.319425000333032</v>
      </c>
      <c r="E135" s="36">
        <v>0.319350232326622</v>
      </c>
    </row>
    <row r="136" spans="1:5">
      <c r="A136" s="36" t="s">
        <v>3</v>
      </c>
      <c r="B136" s="36">
        <v>2079</v>
      </c>
      <c r="C136" s="36">
        <v>0.319382195060122</v>
      </c>
      <c r="D136" s="36">
        <v>0.318875248172472</v>
      </c>
      <c r="E136" s="36">
        <v>0.318528009083121</v>
      </c>
    </row>
    <row r="137" spans="1:5">
      <c r="A137" s="36" t="s">
        <v>3</v>
      </c>
      <c r="B137" s="36">
        <v>2080</v>
      </c>
      <c r="C137" s="36">
        <v>0.318499091752197</v>
      </c>
      <c r="D137" s="36">
        <v>0.318259817281835</v>
      </c>
      <c r="E137" s="36">
        <v>0.317582370565091</v>
      </c>
    </row>
    <row r="138" spans="1:5">
      <c r="A138" s="36" t="s">
        <v>3</v>
      </c>
      <c r="B138" s="36">
        <v>2081</v>
      </c>
      <c r="C138" s="36">
        <v>0.31752188176186</v>
      </c>
      <c r="D138" s="36">
        <v>0.317534851340888</v>
      </c>
      <c r="E138" s="36">
        <v>0.316499417181181</v>
      </c>
    </row>
    <row r="139" spans="1:5">
      <c r="A139" s="36" t="s">
        <v>3</v>
      </c>
      <c r="B139" s="36">
        <v>2082</v>
      </c>
      <c r="C139" s="36">
        <v>0.316500668530759</v>
      </c>
      <c r="D139" s="36">
        <v>0.316727745620272</v>
      </c>
      <c r="E139" s="36">
        <v>0.315358322643247</v>
      </c>
    </row>
    <row r="140" spans="1:5">
      <c r="A140" s="36" t="s">
        <v>3</v>
      </c>
      <c r="B140" s="36">
        <v>2083</v>
      </c>
      <c r="C140" s="36">
        <v>0.315495836630131</v>
      </c>
      <c r="D140" s="36">
        <v>0.315881607582372</v>
      </c>
      <c r="E140" s="36">
        <v>0.314252324646846</v>
      </c>
    </row>
    <row r="141" spans="1:5">
      <c r="A141" s="36" t="s">
        <v>3</v>
      </c>
      <c r="B141" s="36">
        <v>2084</v>
      </c>
      <c r="C141" s="36">
        <v>0.314561440094261</v>
      </c>
      <c r="D141" s="36">
        <v>0.315036627063532</v>
      </c>
      <c r="E141" s="36">
        <v>0.313262492946681</v>
      </c>
    </row>
    <row r="142" spans="1:5">
      <c r="A142" s="36" t="s">
        <v>3</v>
      </c>
      <c r="B142" s="36">
        <v>2085</v>
      </c>
      <c r="C142" s="36">
        <v>0.313744921020758</v>
      </c>
      <c r="D142" s="36">
        <v>0.314229369230342</v>
      </c>
      <c r="E142" s="36">
        <v>0.312458026730133</v>
      </c>
    </row>
    <row r="143" spans="1:5">
      <c r="A143" s="36" t="s">
        <v>3</v>
      </c>
      <c r="B143" s="36">
        <v>2086</v>
      </c>
      <c r="C143" s="36">
        <v>0.313071142460071</v>
      </c>
      <c r="D143" s="36">
        <v>0.313482878967497</v>
      </c>
      <c r="E143" s="36">
        <v>0.311875417663983</v>
      </c>
    </row>
    <row r="144" spans="1:5">
      <c r="A144" s="36" t="s">
        <v>3</v>
      </c>
      <c r="B144" s="36">
        <v>2087</v>
      </c>
      <c r="C144" s="36">
        <v>0.312496660048732</v>
      </c>
      <c r="D144" s="36">
        <v>0.312780028153683</v>
      </c>
      <c r="E144" s="36">
        <v>0.311455097482109</v>
      </c>
    </row>
    <row r="145" spans="1:5">
      <c r="A145" s="36" t="s">
        <v>3</v>
      </c>
      <c r="B145" s="36">
        <v>2088</v>
      </c>
      <c r="C145" s="36">
        <v>0.311966047055506</v>
      </c>
      <c r="D145" s="36">
        <v>0.312096129190266</v>
      </c>
      <c r="E145" s="36">
        <v>0.311121157874342</v>
      </c>
    </row>
    <row r="146" spans="1:5">
      <c r="A146" s="36" t="s">
        <v>3</v>
      </c>
      <c r="B146" s="36">
        <v>2089</v>
      </c>
      <c r="C146" s="36">
        <v>0.311428691551167</v>
      </c>
      <c r="D146" s="36">
        <v>0.311409089003368</v>
      </c>
      <c r="E146" s="36">
        <v>0.310803463880865</v>
      </c>
    </row>
    <row r="147" spans="1:5">
      <c r="A147" s="36" t="s">
        <v>3</v>
      </c>
      <c r="B147" s="36">
        <v>2090</v>
      </c>
      <c r="C147" s="36">
        <v>0.310838749601491</v>
      </c>
      <c r="D147" s="36">
        <v>0.310699573348645</v>
      </c>
      <c r="E147" s="36">
        <v>0.310436255888077</v>
      </c>
    </row>
    <row r="148" spans="1:5">
      <c r="A148" s="36" t="s">
        <v>3</v>
      </c>
      <c r="B148" s="36">
        <v>2091</v>
      </c>
      <c r="C148" s="36">
        <v>0.310167775169946</v>
      </c>
      <c r="D148" s="36">
        <v>0.30995788559331</v>
      </c>
      <c r="E148" s="36">
        <v>0.309975634885984</v>
      </c>
    </row>
    <row r="149" spans="1:5">
      <c r="A149" s="36" t="s">
        <v>3</v>
      </c>
      <c r="B149" s="36">
        <v>2092</v>
      </c>
      <c r="C149" s="36">
        <v>0.309437868568046</v>
      </c>
      <c r="D149" s="36">
        <v>0.309201882545197</v>
      </c>
      <c r="E149" s="36">
        <v>0.309448483865677</v>
      </c>
    </row>
    <row r="150" spans="1:5">
      <c r="A150" s="36" t="s">
        <v>3</v>
      </c>
      <c r="B150" s="36">
        <v>2093</v>
      </c>
      <c r="C150" s="36">
        <v>0.308680981075659</v>
      </c>
      <c r="D150" s="36">
        <v>0.308453670573141</v>
      </c>
      <c r="E150" s="36">
        <v>0.308896316227271</v>
      </c>
    </row>
    <row r="151" spans="1:5">
      <c r="A151" s="36" t="s">
        <v>3</v>
      </c>
      <c r="B151" s="36">
        <v>2094</v>
      </c>
      <c r="C151" s="36">
        <v>0.307925553642177</v>
      </c>
      <c r="D151" s="36">
        <v>0.307732249573095</v>
      </c>
      <c r="E151" s="36">
        <v>0.308356595035944</v>
      </c>
    </row>
    <row r="152" spans="1:5">
      <c r="A152" s="36" t="s">
        <v>3</v>
      </c>
      <c r="B152" s="36">
        <v>2095</v>
      </c>
      <c r="C152" s="36">
        <v>0.307195932783107</v>
      </c>
      <c r="D152" s="36">
        <v>0.307053421869995</v>
      </c>
      <c r="E152" s="36">
        <v>0.307862320552427</v>
      </c>
    </row>
    <row r="153" spans="1:5">
      <c r="A153" s="36" t="s">
        <v>3</v>
      </c>
      <c r="B153" s="36">
        <v>2096</v>
      </c>
      <c r="C153" s="36">
        <v>0.306512192718209</v>
      </c>
      <c r="D153" s="36">
        <v>0.306429939923647</v>
      </c>
      <c r="E153" s="36">
        <v>0.307442380394962</v>
      </c>
    </row>
    <row r="154" spans="1:5">
      <c r="A154" s="36" t="s">
        <v>3</v>
      </c>
      <c r="B154" s="36">
        <v>2097</v>
      </c>
      <c r="C154" s="36">
        <v>0.305890343732102</v>
      </c>
      <c r="D154" s="36">
        <v>0.305871862615367</v>
      </c>
      <c r="E154" s="36">
        <v>0.30712260869098</v>
      </c>
    </row>
    <row r="155" spans="1:5">
      <c r="A155" s="36" t="s">
        <v>3</v>
      </c>
      <c r="B155" s="36">
        <v>2098</v>
      </c>
      <c r="C155" s="36">
        <v>0.305342872954213</v>
      </c>
      <c r="D155" s="36">
        <v>0.305387078524225</v>
      </c>
      <c r="E155" s="36">
        <v>0.306927488440829</v>
      </c>
    </row>
    <row r="156" spans="1:5">
      <c r="A156" s="36" t="s">
        <v>3</v>
      </c>
      <c r="B156" s="36">
        <v>2099</v>
      </c>
      <c r="C156" s="36">
        <v>0.304879545626257</v>
      </c>
      <c r="D156" s="36">
        <v>0.304981953414272</v>
      </c>
      <c r="E156" s="36">
        <v>0.306882457421686</v>
      </c>
    </row>
    <row r="157" spans="1:5">
      <c r="A157" s="36" t="s">
        <v>3</v>
      </c>
      <c r="B157" s="36">
        <v>2100</v>
      </c>
      <c r="C157" s="36">
        <v>0.30450839658461</v>
      </c>
      <c r="D157" s="36">
        <v>0.304662067567808</v>
      </c>
      <c r="E157" s="36">
        <v>0.307016841650161</v>
      </c>
    </row>
    <row r="158" spans="1:5">
      <c r="A158" s="36" t="s">
        <v>10</v>
      </c>
      <c r="B158" s="36">
        <v>2023</v>
      </c>
      <c r="C158" s="36">
        <v>0.372933276464119</v>
      </c>
      <c r="D158" s="36">
        <v>0.364725454918107</v>
      </c>
      <c r="E158" s="36">
        <v>0.414998281199195</v>
      </c>
    </row>
    <row r="159" spans="1:5">
      <c r="A159" s="36" t="s">
        <v>10</v>
      </c>
      <c r="B159" s="36">
        <v>2024</v>
      </c>
      <c r="C159" s="36">
        <v>0.370882620555423</v>
      </c>
      <c r="D159" s="36">
        <v>0.362890547314482</v>
      </c>
      <c r="E159" s="36">
        <v>0.412332191826335</v>
      </c>
    </row>
    <row r="160" spans="1:5">
      <c r="A160" s="36" t="s">
        <v>10</v>
      </c>
      <c r="B160" s="36">
        <v>2025</v>
      </c>
      <c r="C160" s="36">
        <v>0.368759845862879</v>
      </c>
      <c r="D160" s="36">
        <v>0.36107908425642</v>
      </c>
      <c r="E160" s="36">
        <v>0.409298493326744</v>
      </c>
    </row>
    <row r="161" spans="1:5">
      <c r="A161" s="36" t="s">
        <v>10</v>
      </c>
      <c r="B161" s="36">
        <v>2026</v>
      </c>
      <c r="C161" s="36">
        <v>0.366698482697817</v>
      </c>
      <c r="D161" s="36">
        <v>0.359431275180935</v>
      </c>
      <c r="E161" s="36">
        <v>0.406089893531436</v>
      </c>
    </row>
    <row r="162" spans="1:5">
      <c r="A162" s="36" t="s">
        <v>10</v>
      </c>
      <c r="B162" s="36">
        <v>2027</v>
      </c>
      <c r="C162" s="36">
        <v>0.364802262446801</v>
      </c>
      <c r="D162" s="36">
        <v>0.357975921513369</v>
      </c>
      <c r="E162" s="36">
        <v>0.402853955925974</v>
      </c>
    </row>
    <row r="163" spans="1:5">
      <c r="A163" s="36" t="s">
        <v>10</v>
      </c>
      <c r="B163" s="36">
        <v>2028</v>
      </c>
      <c r="C163" s="36">
        <v>0.363106945115853</v>
      </c>
      <c r="D163" s="36">
        <v>0.356680866935591</v>
      </c>
      <c r="E163" s="36">
        <v>0.399622371333156</v>
      </c>
    </row>
    <row r="164" spans="1:5">
      <c r="A164" s="36" t="s">
        <v>10</v>
      </c>
      <c r="B164" s="36">
        <v>2029</v>
      </c>
      <c r="C164" s="36">
        <v>0.361645158675201</v>
      </c>
      <c r="D164" s="36">
        <v>0.355515187840276</v>
      </c>
      <c r="E164" s="36">
        <v>0.396413674064623</v>
      </c>
    </row>
    <row r="165" spans="1:5">
      <c r="A165" s="36" t="s">
        <v>10</v>
      </c>
      <c r="B165" s="36">
        <v>2030</v>
      </c>
      <c r="C165" s="36">
        <v>0.360446974544181</v>
      </c>
      <c r="D165" s="36">
        <v>0.354449313517492</v>
      </c>
      <c r="E165" s="36">
        <v>0.393233463668748</v>
      </c>
    </row>
    <row r="166" spans="1:5">
      <c r="A166" s="36" t="s">
        <v>10</v>
      </c>
      <c r="B166" s="36">
        <v>2031</v>
      </c>
      <c r="C166" s="36">
        <v>0.359506162056141</v>
      </c>
      <c r="D166" s="36">
        <v>0.353447277280052</v>
      </c>
      <c r="E166" s="36">
        <v>0.390037849047983</v>
      </c>
    </row>
    <row r="167" spans="1:5">
      <c r="A167" s="36" t="s">
        <v>10</v>
      </c>
      <c r="B167" s="36">
        <v>2032</v>
      </c>
      <c r="C167" s="36">
        <v>0.358736533203949</v>
      </c>
      <c r="D167" s="36">
        <v>0.35247410550523</v>
      </c>
      <c r="E167" s="36">
        <v>0.386747727091067</v>
      </c>
    </row>
    <row r="168" spans="1:5">
      <c r="A168" s="36" t="s">
        <v>10</v>
      </c>
      <c r="B168" s="36">
        <v>2033</v>
      </c>
      <c r="C168" s="36">
        <v>0.358020941890478</v>
      </c>
      <c r="D168" s="36">
        <v>0.35148928608583</v>
      </c>
      <c r="E168" s="36">
        <v>0.383232955792167</v>
      </c>
    </row>
    <row r="169" spans="1:5">
      <c r="A169" s="36" t="s">
        <v>10</v>
      </c>
      <c r="B169" s="36">
        <v>2034</v>
      </c>
      <c r="C169" s="36">
        <v>0.35724579829196</v>
      </c>
      <c r="D169" s="36">
        <v>0.350454885501731</v>
      </c>
      <c r="E169" s="36">
        <v>0.379355392508147</v>
      </c>
    </row>
    <row r="170" spans="1:5">
      <c r="A170" s="36" t="s">
        <v>10</v>
      </c>
      <c r="B170" s="36">
        <v>2035</v>
      </c>
      <c r="C170" s="36">
        <v>0.356301566472598</v>
      </c>
      <c r="D170" s="36">
        <v>0.349336036653739</v>
      </c>
      <c r="E170" s="36">
        <v>0.374980467205322</v>
      </c>
    </row>
    <row r="171" spans="1:5">
      <c r="A171" s="36" t="s">
        <v>10</v>
      </c>
      <c r="B171" s="36">
        <v>2036</v>
      </c>
      <c r="C171" s="36">
        <v>0.355127848308005</v>
      </c>
      <c r="D171" s="36">
        <v>0.348126375137966</v>
      </c>
      <c r="E171" s="36">
        <v>0.370078917510637</v>
      </c>
    </row>
    <row r="172" spans="1:5">
      <c r="A172" s="36" t="s">
        <v>10</v>
      </c>
      <c r="B172" s="36">
        <v>2037</v>
      </c>
      <c r="C172" s="36">
        <v>0.353844785020563</v>
      </c>
      <c r="D172" s="36">
        <v>0.346919570115511</v>
      </c>
      <c r="E172" s="36">
        <v>0.365006918739599</v>
      </c>
    </row>
    <row r="173" spans="1:5">
      <c r="A173" s="36" t="s">
        <v>10</v>
      </c>
      <c r="B173" s="36">
        <v>2038</v>
      </c>
      <c r="C173" s="36">
        <v>0.35260820436056</v>
      </c>
      <c r="D173" s="36">
        <v>0.345824479195708</v>
      </c>
      <c r="E173" s="36">
        <v>0.360202067812029</v>
      </c>
    </row>
    <row r="174" spans="1:5">
      <c r="A174" s="36" t="s">
        <v>10</v>
      </c>
      <c r="B174" s="36">
        <v>2039</v>
      </c>
      <c r="C174" s="36">
        <v>0.351563296832402</v>
      </c>
      <c r="D174" s="36">
        <v>0.344939595468334</v>
      </c>
      <c r="E174" s="36">
        <v>0.356045222464818</v>
      </c>
    </row>
    <row r="175" spans="1:5">
      <c r="A175" s="36" t="s">
        <v>10</v>
      </c>
      <c r="B175" s="36">
        <v>2040</v>
      </c>
      <c r="C175" s="36">
        <v>0.350845980370545</v>
      </c>
      <c r="D175" s="36">
        <v>0.344356120569019</v>
      </c>
      <c r="E175" s="36">
        <v>0.352831668742584</v>
      </c>
    </row>
    <row r="176" spans="1:5">
      <c r="A176" s="36" t="s">
        <v>10</v>
      </c>
      <c r="B176" s="36">
        <v>2041</v>
      </c>
      <c r="C176" s="36">
        <v>0.350533118084188</v>
      </c>
      <c r="D176" s="36">
        <v>0.344128189973436</v>
      </c>
      <c r="E176" s="36">
        <v>0.350663753732611</v>
      </c>
    </row>
    <row r="177" spans="1:5">
      <c r="A177" s="36" t="s">
        <v>10</v>
      </c>
      <c r="B177" s="36">
        <v>2042</v>
      </c>
      <c r="C177" s="36">
        <v>0.350533683549109</v>
      </c>
      <c r="D177" s="36">
        <v>0.344194860549663</v>
      </c>
      <c r="E177" s="36">
        <v>0.349253648093796</v>
      </c>
    </row>
    <row r="178" spans="1:5">
      <c r="A178" s="36" t="s">
        <v>10</v>
      </c>
      <c r="B178" s="36">
        <v>2043</v>
      </c>
      <c r="C178" s="36">
        <v>0.350707381780164</v>
      </c>
      <c r="D178" s="36">
        <v>0.344466250752099</v>
      </c>
      <c r="E178" s="36">
        <v>0.34824070034588</v>
      </c>
    </row>
    <row r="179" spans="1:5">
      <c r="A179" s="36" t="s">
        <v>10</v>
      </c>
      <c r="B179" s="36">
        <v>2044</v>
      </c>
      <c r="C179" s="36">
        <v>0.350914968235011</v>
      </c>
      <c r="D179" s="36">
        <v>0.344854278333239</v>
      </c>
      <c r="E179" s="36">
        <v>0.347300267841389</v>
      </c>
    </row>
    <row r="180" spans="1:5">
      <c r="A180" s="36" t="s">
        <v>10</v>
      </c>
      <c r="B180" s="36">
        <v>2045</v>
      </c>
      <c r="C180" s="36">
        <v>0.351015751246711</v>
      </c>
      <c r="D180" s="36">
        <v>0.345269037191703</v>
      </c>
      <c r="E180" s="36">
        <v>0.346133537536593</v>
      </c>
    </row>
    <row r="181" spans="1:5">
      <c r="A181" s="36" t="s">
        <v>10</v>
      </c>
      <c r="B181" s="36">
        <v>2046</v>
      </c>
      <c r="C181" s="36">
        <v>0.350908934179077</v>
      </c>
      <c r="D181" s="36">
        <v>0.345641527832582</v>
      </c>
      <c r="E181" s="36">
        <v>0.344570593654258</v>
      </c>
    </row>
    <row r="182" spans="1:5">
      <c r="A182" s="36" t="s">
        <v>10</v>
      </c>
      <c r="B182" s="36">
        <v>2047</v>
      </c>
      <c r="C182" s="36">
        <v>0.350658808382717</v>
      </c>
      <c r="D182" s="36">
        <v>0.345999133183784</v>
      </c>
      <c r="E182" s="36">
        <v>0.34284977132553</v>
      </c>
    </row>
    <row r="183" spans="1:5">
      <c r="A183" s="36" t="s">
        <v>10</v>
      </c>
      <c r="B183" s="36">
        <v>2048</v>
      </c>
      <c r="C183" s="36">
        <v>0.350370103359946</v>
      </c>
      <c r="D183" s="36">
        <v>0.346394918453487</v>
      </c>
      <c r="E183" s="36">
        <v>0.341269347936959</v>
      </c>
    </row>
    <row r="184" spans="1:5">
      <c r="A184" s="36" t="s">
        <v>10</v>
      </c>
      <c r="B184" s="36">
        <v>2049</v>
      </c>
      <c r="C184" s="36">
        <v>0.350145890791891</v>
      </c>
      <c r="D184" s="36">
        <v>0.346883899907206</v>
      </c>
      <c r="E184" s="36">
        <v>0.340078989988998</v>
      </c>
    </row>
    <row r="185" spans="1:5">
      <c r="A185" s="36" t="s">
        <v>10</v>
      </c>
      <c r="B185" s="36">
        <v>2050</v>
      </c>
      <c r="C185" s="36">
        <v>0.350087777285877</v>
      </c>
      <c r="D185" s="36">
        <v>0.347523743149125</v>
      </c>
      <c r="E185" s="36">
        <v>0.339495669804529</v>
      </c>
    </row>
    <row r="186" spans="1:5">
      <c r="A186" s="36" t="s">
        <v>10</v>
      </c>
      <c r="B186" s="36">
        <v>2051</v>
      </c>
      <c r="C186" s="36">
        <v>0.350261495781293</v>
      </c>
      <c r="D186" s="36">
        <v>0.348352809311818</v>
      </c>
      <c r="E186" s="36">
        <v>0.339648209173886</v>
      </c>
    </row>
    <row r="187" spans="1:5">
      <c r="A187" s="36" t="s">
        <v>10</v>
      </c>
      <c r="B187" s="36">
        <v>2052</v>
      </c>
      <c r="C187" s="36">
        <v>0.350623230380801</v>
      </c>
      <c r="D187" s="36">
        <v>0.34934883379066</v>
      </c>
      <c r="E187" s="36">
        <v>0.340418572415885</v>
      </c>
    </row>
    <row r="188" spans="1:5">
      <c r="A188" s="36" t="s">
        <v>10</v>
      </c>
      <c r="B188" s="36">
        <v>2053</v>
      </c>
      <c r="C188" s="36">
        <v>0.35109315472978</v>
      </c>
      <c r="D188" s="36">
        <v>0.350464265862519</v>
      </c>
      <c r="E188" s="36">
        <v>0.341619120457594</v>
      </c>
    </row>
    <row r="189" spans="1:5">
      <c r="A189" s="36" t="s">
        <v>10</v>
      </c>
      <c r="B189" s="36">
        <v>2054</v>
      </c>
      <c r="C189" s="36">
        <v>0.351589718114784</v>
      </c>
      <c r="D189" s="36">
        <v>0.351647536787811</v>
      </c>
      <c r="E189" s="36">
        <v>0.343051078409038</v>
      </c>
    </row>
    <row r="190" spans="1:5">
      <c r="A190" s="36" t="s">
        <v>10</v>
      </c>
      <c r="B190" s="36">
        <v>2055</v>
      </c>
      <c r="C190" s="36">
        <v>0.352028787432104</v>
      </c>
      <c r="D190" s="36">
        <v>0.352842533109785</v>
      </c>
      <c r="E190" s="36">
        <v>0.344483988903359</v>
      </c>
    </row>
    <row r="191" spans="1:5">
      <c r="A191" s="36" t="s">
        <v>10</v>
      </c>
      <c r="B191" s="36">
        <v>2056</v>
      </c>
      <c r="C191" s="36">
        <v>0.352349117198125</v>
      </c>
      <c r="D191" s="36">
        <v>0.354006734398739</v>
      </c>
      <c r="E191" s="36">
        <v>0.345702476554863</v>
      </c>
    </row>
    <row r="192" spans="1:5">
      <c r="A192" s="36" t="s">
        <v>10</v>
      </c>
      <c r="B192" s="36">
        <v>2057</v>
      </c>
      <c r="C192" s="36">
        <v>0.352589670018625</v>
      </c>
      <c r="D192" s="36">
        <v>0.355168068866082</v>
      </c>
      <c r="E192" s="36">
        <v>0.346678486097503</v>
      </c>
    </row>
    <row r="193" spans="1:5">
      <c r="A193" s="36" t="s">
        <v>10</v>
      </c>
      <c r="B193" s="36">
        <v>2058</v>
      </c>
      <c r="C193" s="36">
        <v>0.352815792348677</v>
      </c>
      <c r="D193" s="36">
        <v>0.356375094443638</v>
      </c>
      <c r="E193" s="36">
        <v>0.347441880185774</v>
      </c>
    </row>
    <row r="194" spans="1:5">
      <c r="A194" s="36" t="s">
        <v>10</v>
      </c>
      <c r="B194" s="36">
        <v>2059</v>
      </c>
      <c r="C194" s="36">
        <v>0.353093860809584</v>
      </c>
      <c r="D194" s="36">
        <v>0.357679307455382</v>
      </c>
      <c r="E194" s="36">
        <v>0.348029936795543</v>
      </c>
    </row>
    <row r="195" spans="1:5">
      <c r="A195" s="36" t="s">
        <v>10</v>
      </c>
      <c r="B195" s="36">
        <v>2060</v>
      </c>
      <c r="C195" s="36">
        <v>0.353491438099595</v>
      </c>
      <c r="D195" s="36">
        <v>0.359135012506947</v>
      </c>
      <c r="E195" s="36">
        <v>0.348485030630288</v>
      </c>
    </row>
    <row r="196" spans="1:5">
      <c r="A196" s="36" t="s">
        <v>10</v>
      </c>
      <c r="B196" s="36">
        <v>2061</v>
      </c>
      <c r="C196" s="36">
        <v>0.354061754178306</v>
      </c>
      <c r="D196" s="36">
        <v>0.360782420707035</v>
      </c>
      <c r="E196" s="36">
        <v>0.348857366259564</v>
      </c>
    </row>
    <row r="197" spans="1:5">
      <c r="A197" s="36" t="s">
        <v>10</v>
      </c>
      <c r="B197" s="36">
        <v>2062</v>
      </c>
      <c r="C197" s="36">
        <v>0.354794701699038</v>
      </c>
      <c r="D197" s="36">
        <v>0.362594886061678</v>
      </c>
      <c r="E197" s="36">
        <v>0.349217445944537</v>
      </c>
    </row>
    <row r="198" spans="1:5">
      <c r="A198" s="36" t="s">
        <v>10</v>
      </c>
      <c r="B198" s="36">
        <v>2063</v>
      </c>
      <c r="C198" s="36">
        <v>0.355663831313753</v>
      </c>
      <c r="D198" s="36">
        <v>0.364525508948365</v>
      </c>
      <c r="E198" s="36">
        <v>0.349642457341367</v>
      </c>
    </row>
    <row r="199" spans="1:5">
      <c r="A199" s="36" t="s">
        <v>10</v>
      </c>
      <c r="B199" s="36">
        <v>2064</v>
      </c>
      <c r="C199" s="36">
        <v>0.356641792757248</v>
      </c>
      <c r="D199" s="36">
        <v>0.366523584268877</v>
      </c>
      <c r="E199" s="36">
        <v>0.350212160009536</v>
      </c>
    </row>
    <row r="200" spans="1:5">
      <c r="A200" s="36" t="s">
        <v>10</v>
      </c>
      <c r="B200" s="36">
        <v>2065</v>
      </c>
      <c r="C200" s="36">
        <v>0.357699892610876</v>
      </c>
      <c r="D200" s="36">
        <v>0.36853528745472</v>
      </c>
      <c r="E200" s="36">
        <v>0.351010224182224</v>
      </c>
    </row>
    <row r="201" spans="1:5">
      <c r="A201" s="36" t="s">
        <v>10</v>
      </c>
      <c r="B201" s="36">
        <v>2066</v>
      </c>
      <c r="C201" s="36">
        <v>0.358820629478135</v>
      </c>
      <c r="D201" s="36">
        <v>0.37051901207952</v>
      </c>
      <c r="E201" s="36">
        <v>0.352113624459582</v>
      </c>
    </row>
    <row r="202" spans="1:5">
      <c r="A202" s="36" t="s">
        <v>10</v>
      </c>
      <c r="B202" s="36">
        <v>2067</v>
      </c>
      <c r="C202" s="36">
        <v>0.360037140738307</v>
      </c>
      <c r="D202" s="36">
        <v>0.372489759554652</v>
      </c>
      <c r="E202" s="36">
        <v>0.353554582153205</v>
      </c>
    </row>
    <row r="203" spans="1:5">
      <c r="A203" s="36" t="s">
        <v>10</v>
      </c>
      <c r="B203" s="36">
        <v>2068</v>
      </c>
      <c r="C203" s="36">
        <v>0.36139692773343</v>
      </c>
      <c r="D203" s="36">
        <v>0.374477439933248</v>
      </c>
      <c r="E203" s="36">
        <v>0.355356212562505</v>
      </c>
    </row>
    <row r="204" spans="1:5">
      <c r="A204" s="36" t="s">
        <v>10</v>
      </c>
      <c r="B204" s="36">
        <v>2069</v>
      </c>
      <c r="C204" s="36">
        <v>0.362949283648841</v>
      </c>
      <c r="D204" s="36">
        <v>0.37651204362809</v>
      </c>
      <c r="E204" s="36">
        <v>0.357543670165094</v>
      </c>
    </row>
    <row r="205" spans="1:5">
      <c r="A205" s="36" t="s">
        <v>10</v>
      </c>
      <c r="B205" s="36">
        <v>2070</v>
      </c>
      <c r="C205" s="36">
        <v>0.364745031435875</v>
      </c>
      <c r="D205" s="36">
        <v>0.378622824917443</v>
      </c>
      <c r="E205" s="36">
        <v>0.360142087197203</v>
      </c>
    </row>
    <row r="206" spans="1:5">
      <c r="A206" s="36" t="s">
        <v>10</v>
      </c>
      <c r="B206" s="36">
        <v>2071</v>
      </c>
      <c r="C206" s="36">
        <v>0.366817325260556</v>
      </c>
      <c r="D206" s="36">
        <v>0.380822869152025</v>
      </c>
      <c r="E206" s="36">
        <v>0.363141830746825</v>
      </c>
    </row>
    <row r="207" spans="1:5">
      <c r="A207" s="36" t="s">
        <v>10</v>
      </c>
      <c r="B207" s="36">
        <v>2072</v>
      </c>
      <c r="C207" s="36">
        <v>0.369123281014036</v>
      </c>
      <c r="D207" s="36">
        <v>0.38306571202893</v>
      </c>
      <c r="E207" s="36">
        <v>0.366394111516385</v>
      </c>
    </row>
    <row r="208" spans="1:5">
      <c r="A208" s="36" t="s">
        <v>10</v>
      </c>
      <c r="B208" s="36">
        <v>2073</v>
      </c>
      <c r="C208" s="36">
        <v>0.371596194064953</v>
      </c>
      <c r="D208" s="36">
        <v>0.385291179770253</v>
      </c>
      <c r="E208" s="36">
        <v>0.369697382542214</v>
      </c>
    </row>
    <row r="209" spans="1:5">
      <c r="A209" s="36" t="s">
        <v>10</v>
      </c>
      <c r="B209" s="36">
        <v>2074</v>
      </c>
      <c r="C209" s="36">
        <v>0.374164427954336</v>
      </c>
      <c r="D209" s="36">
        <v>0.387441764806866</v>
      </c>
      <c r="E209" s="36">
        <v>0.372836966139038</v>
      </c>
    </row>
    <row r="210" spans="1:5">
      <c r="A210" s="36" t="s">
        <v>10</v>
      </c>
      <c r="B210" s="36">
        <v>2075</v>
      </c>
      <c r="C210" s="36">
        <v>0.376753266856083</v>
      </c>
      <c r="D210" s="36">
        <v>0.389464065593483</v>
      </c>
      <c r="E210" s="36">
        <v>0.375597639459015</v>
      </c>
    </row>
    <row r="211" spans="1:5">
      <c r="A211" s="36" t="s">
        <v>10</v>
      </c>
      <c r="B211" s="36">
        <v>2076</v>
      </c>
      <c r="C211" s="36">
        <v>0.379302009488984</v>
      </c>
      <c r="D211" s="36">
        <v>0.391323790861243</v>
      </c>
      <c r="E211" s="36">
        <v>0.377825041543665</v>
      </c>
    </row>
    <row r="212" spans="1:5">
      <c r="A212" s="36" t="s">
        <v>10</v>
      </c>
      <c r="B212" s="36">
        <v>2077</v>
      </c>
      <c r="C212" s="36">
        <v>0.381809222645761</v>
      </c>
      <c r="D212" s="36">
        <v>0.393046002766316</v>
      </c>
      <c r="E212" s="36">
        <v>0.379581200968194</v>
      </c>
    </row>
    <row r="213" spans="1:5">
      <c r="A213" s="36" t="s">
        <v>10</v>
      </c>
      <c r="B213" s="36">
        <v>2078</v>
      </c>
      <c r="C213" s="36">
        <v>0.384288252282722</v>
      </c>
      <c r="D213" s="36">
        <v>0.394668532858621</v>
      </c>
      <c r="E213" s="36">
        <v>0.38098374231669</v>
      </c>
    </row>
    <row r="214" spans="1:5">
      <c r="A214" s="36" t="s">
        <v>10</v>
      </c>
      <c r="B214" s="36">
        <v>2079</v>
      </c>
      <c r="C214" s="36">
        <v>0.386751839333408</v>
      </c>
      <c r="D214" s="36">
        <v>0.396226897433319</v>
      </c>
      <c r="E214" s="36">
        <v>0.382150294543265</v>
      </c>
    </row>
    <row r="215" spans="1:5">
      <c r="A215" s="36" t="s">
        <v>10</v>
      </c>
      <c r="B215" s="36">
        <v>2080</v>
      </c>
      <c r="C215" s="36">
        <v>0.389211438346668</v>
      </c>
      <c r="D215" s="36">
        <v>0.397753942610173</v>
      </c>
      <c r="E215" s="36">
        <v>0.383196947614142</v>
      </c>
    </row>
    <row r="216" spans="1:5">
      <c r="A216" s="36" t="s">
        <v>10</v>
      </c>
      <c r="B216" s="36">
        <v>2081</v>
      </c>
      <c r="C216" s="36">
        <v>0.391668351373707</v>
      </c>
      <c r="D216" s="36">
        <v>0.399271051243153</v>
      </c>
      <c r="E216" s="36">
        <v>0.384235643123648</v>
      </c>
    </row>
    <row r="217" spans="1:5">
      <c r="A217" s="36" t="s">
        <v>10</v>
      </c>
      <c r="B217" s="36">
        <v>2082</v>
      </c>
      <c r="C217" s="36">
        <v>0.394090457188174</v>
      </c>
      <c r="D217" s="36">
        <v>0.400764394877793</v>
      </c>
      <c r="E217" s="36">
        <v>0.385367602280103</v>
      </c>
    </row>
    <row r="218" spans="1:5">
      <c r="A218" s="36" t="s">
        <v>10</v>
      </c>
      <c r="B218" s="36">
        <v>2083</v>
      </c>
      <c r="C218" s="36">
        <v>0.396440565829366</v>
      </c>
      <c r="D218" s="36">
        <v>0.402213495815839</v>
      </c>
      <c r="E218" s="36">
        <v>0.386688574243589</v>
      </c>
    </row>
    <row r="219" spans="1:5">
      <c r="A219" s="36" t="s">
        <v>10</v>
      </c>
      <c r="B219" s="36">
        <v>2084</v>
      </c>
      <c r="C219" s="36">
        <v>0.398686079326455</v>
      </c>
      <c r="D219" s="36">
        <v>0.403600296419069</v>
      </c>
      <c r="E219" s="36">
        <v>0.388288872761446</v>
      </c>
    </row>
    <row r="220" spans="1:5">
      <c r="A220" s="36" t="s">
        <v>10</v>
      </c>
      <c r="B220" s="36">
        <v>2085</v>
      </c>
      <c r="C220" s="36">
        <v>0.400799661040013</v>
      </c>
      <c r="D220" s="36">
        <v>0.404909223880277</v>
      </c>
      <c r="E220" s="36">
        <v>0.39024982054441</v>
      </c>
    </row>
    <row r="221" spans="1:5">
      <c r="A221" s="36" t="s">
        <v>10</v>
      </c>
      <c r="B221" s="36">
        <v>2086</v>
      </c>
      <c r="C221" s="36">
        <v>0.40277002707522</v>
      </c>
      <c r="D221" s="36">
        <v>0.406128369300407</v>
      </c>
      <c r="E221" s="36">
        <v>0.39259972993184</v>
      </c>
    </row>
    <row r="222" spans="1:5">
      <c r="A222" s="36" t="s">
        <v>10</v>
      </c>
      <c r="B222" s="36">
        <v>2087</v>
      </c>
      <c r="C222" s="36">
        <v>0.404629777317</v>
      </c>
      <c r="D222" s="36">
        <v>0.40725271904111</v>
      </c>
      <c r="E222" s="36">
        <v>0.395201638272965</v>
      </c>
    </row>
    <row r="223" spans="1:5">
      <c r="A223" s="36" t="s">
        <v>10</v>
      </c>
      <c r="B223" s="36">
        <v>2088</v>
      </c>
      <c r="C223" s="36">
        <v>0.406416993645459</v>
      </c>
      <c r="D223" s="36">
        <v>0.408279620597101</v>
      </c>
      <c r="E223" s="36">
        <v>0.39788625781013</v>
      </c>
    </row>
    <row r="224" spans="1:5">
      <c r="A224" s="36" t="s">
        <v>10</v>
      </c>
      <c r="B224" s="36">
        <v>2089</v>
      </c>
      <c r="C224" s="36">
        <v>0.408163421146652</v>
      </c>
      <c r="D224" s="36">
        <v>0.409207236145206</v>
      </c>
      <c r="E224" s="36">
        <v>0.400501109894222</v>
      </c>
    </row>
    <row r="225" spans="1:5">
      <c r="A225" s="36" t="s">
        <v>10</v>
      </c>
      <c r="B225" s="36">
        <v>2090</v>
      </c>
      <c r="C225" s="36">
        <v>0.409894061275597</v>
      </c>
      <c r="D225" s="36">
        <v>0.410034312642558</v>
      </c>
      <c r="E225" s="36">
        <v>0.402917484423501</v>
      </c>
    </row>
    <row r="226" spans="1:5">
      <c r="A226" s="36" t="s">
        <v>10</v>
      </c>
      <c r="B226" s="36">
        <v>2091</v>
      </c>
      <c r="C226" s="36">
        <v>0.411616459924189</v>
      </c>
      <c r="D226" s="36">
        <v>0.410763887839234</v>
      </c>
      <c r="E226" s="36">
        <v>0.405052344378776</v>
      </c>
    </row>
    <row r="227" spans="1:5">
      <c r="A227" s="36" t="s">
        <v>10</v>
      </c>
      <c r="B227" s="36">
        <v>2092</v>
      </c>
      <c r="C227" s="36">
        <v>0.413295126547491</v>
      </c>
      <c r="D227" s="36">
        <v>0.411414129947483</v>
      </c>
      <c r="E227" s="36">
        <v>0.406915991441647</v>
      </c>
    </row>
    <row r="228" spans="1:5">
      <c r="A228" s="36" t="s">
        <v>10</v>
      </c>
      <c r="B228" s="36">
        <v>2093</v>
      </c>
      <c r="C228" s="36">
        <v>0.414892105987309</v>
      </c>
      <c r="D228" s="36">
        <v>0.412005232289238</v>
      </c>
      <c r="E228" s="36">
        <v>0.408538368261513</v>
      </c>
    </row>
    <row r="229" spans="1:5">
      <c r="A229" s="36" t="s">
        <v>10</v>
      </c>
      <c r="B229" s="36">
        <v>2094</v>
      </c>
      <c r="C229" s="36">
        <v>0.416378803100302</v>
      </c>
      <c r="D229" s="36">
        <v>0.412555591048464</v>
      </c>
      <c r="E229" s="36">
        <v>0.409947093586065</v>
      </c>
    </row>
    <row r="230" spans="1:5">
      <c r="A230" s="36" t="s">
        <v>10</v>
      </c>
      <c r="B230" s="36">
        <v>2095</v>
      </c>
      <c r="C230" s="36">
        <v>0.417735503834665</v>
      </c>
      <c r="D230" s="36">
        <v>0.413082052867756</v>
      </c>
      <c r="E230" s="36">
        <v>0.411167126482156</v>
      </c>
    </row>
    <row r="231" spans="1:5">
      <c r="A231" s="36" t="s">
        <v>10</v>
      </c>
      <c r="B231" s="36">
        <v>2096</v>
      </c>
      <c r="C231" s="36">
        <v>0.418950297847904</v>
      </c>
      <c r="D231" s="36">
        <v>0.413600065052136</v>
      </c>
      <c r="E231" s="36">
        <v>0.412220693481476</v>
      </c>
    </row>
    <row r="232" spans="1:5">
      <c r="A232" s="36" t="s">
        <v>10</v>
      </c>
      <c r="B232" s="36">
        <v>2097</v>
      </c>
      <c r="C232" s="36">
        <v>0.420017605618898</v>
      </c>
      <c r="D232" s="36">
        <v>0.414123731217836</v>
      </c>
      <c r="E232" s="36">
        <v>0.413127380252945</v>
      </c>
    </row>
    <row r="233" spans="1:5">
      <c r="A233" s="36" t="s">
        <v>10</v>
      </c>
      <c r="B233" s="36">
        <v>2098</v>
      </c>
      <c r="C233" s="36">
        <v>0.420936514592115</v>
      </c>
      <c r="D233" s="36">
        <v>0.414665777339964</v>
      </c>
      <c r="E233" s="36">
        <v>0.413904317836269</v>
      </c>
    </row>
    <row r="234" spans="1:5">
      <c r="A234" s="36" t="s">
        <v>10</v>
      </c>
      <c r="B234" s="36">
        <v>2099</v>
      </c>
      <c r="C234" s="36">
        <v>0.42170909127136</v>
      </c>
      <c r="D234" s="36">
        <v>0.415237435331246</v>
      </c>
      <c r="E234" s="36">
        <v>0.414566415967387</v>
      </c>
    </row>
    <row r="235" spans="1:5">
      <c r="A235" s="36" t="s">
        <v>10</v>
      </c>
      <c r="B235" s="36">
        <v>2100</v>
      </c>
      <c r="C235" s="36">
        <v>0.422338776593014</v>
      </c>
      <c r="D235" s="36">
        <v>0.415848254075053</v>
      </c>
      <c r="E235" s="36">
        <v>0.415126612761322</v>
      </c>
    </row>
    <row r="236" spans="1:5">
      <c r="A236" s="36" t="s">
        <v>11</v>
      </c>
      <c r="B236" s="36">
        <v>2023</v>
      </c>
      <c r="C236" s="36">
        <v>0.262226270780806</v>
      </c>
      <c r="D236" s="36">
        <v>0.262201098940977</v>
      </c>
      <c r="E236" s="36">
        <v>0.262169971932973</v>
      </c>
    </row>
    <row r="237" spans="1:5">
      <c r="A237" s="36" t="s">
        <v>11</v>
      </c>
      <c r="B237" s="36">
        <v>2024</v>
      </c>
      <c r="C237" s="36">
        <v>0.262828138229012</v>
      </c>
      <c r="D237" s="36">
        <v>0.262801664748308</v>
      </c>
      <c r="E237" s="36">
        <v>0.262773741374832</v>
      </c>
    </row>
    <row r="238" spans="1:5">
      <c r="A238" s="36" t="s">
        <v>11</v>
      </c>
      <c r="B238" s="36">
        <v>2025</v>
      </c>
      <c r="C238" s="36">
        <v>0.263448158970254</v>
      </c>
      <c r="D238" s="36">
        <v>0.263420327623978</v>
      </c>
      <c r="E238" s="36">
        <v>0.263395875615812</v>
      </c>
    </row>
    <row r="239" spans="1:5">
      <c r="A239" s="36" t="s">
        <v>11</v>
      </c>
      <c r="B239" s="36">
        <v>2026</v>
      </c>
      <c r="C239" s="36">
        <v>0.264082639655861</v>
      </c>
      <c r="D239" s="36">
        <v>0.264053950840144</v>
      </c>
      <c r="E239" s="36">
        <v>0.264032502750854</v>
      </c>
    </row>
    <row r="240" spans="1:5">
      <c r="A240" s="36" t="s">
        <v>11</v>
      </c>
      <c r="B240" s="36">
        <v>2027</v>
      </c>
      <c r="C240" s="36">
        <v>0.264735491563624</v>
      </c>
      <c r="D240" s="36">
        <v>0.264705883956355</v>
      </c>
      <c r="E240" s="36">
        <v>0.264687637583615</v>
      </c>
    </row>
    <row r="241" spans="1:5">
      <c r="A241" s="36" t="s">
        <v>11</v>
      </c>
      <c r="B241" s="36">
        <v>2028</v>
      </c>
      <c r="C241" s="36">
        <v>0.265406904317711</v>
      </c>
      <c r="D241" s="36">
        <v>0.265376327256921</v>
      </c>
      <c r="E241" s="36">
        <v>0.265361406683554</v>
      </c>
    </row>
    <row r="242" spans="1:5">
      <c r="A242" s="36" t="s">
        <v>11</v>
      </c>
      <c r="B242" s="36">
        <v>2029</v>
      </c>
      <c r="C242" s="36">
        <v>0.266097044101339</v>
      </c>
      <c r="D242" s="36">
        <v>0.266065459165169</v>
      </c>
      <c r="E242" s="36">
        <v>0.266053905669914</v>
      </c>
    </row>
    <row r="243" spans="1:5">
      <c r="A243" s="36" t="s">
        <v>11</v>
      </c>
      <c r="B243" s="36">
        <v>2030</v>
      </c>
      <c r="C243" s="36">
        <v>0.26680605176134</v>
      </c>
      <c r="D243" s="36">
        <v>0.266773434389432</v>
      </c>
      <c r="E243" s="36">
        <v>0.266765197209697</v>
      </c>
    </row>
    <row r="244" spans="1:5">
      <c r="A244" s="36" t="s">
        <v>11</v>
      </c>
      <c r="B244" s="36">
        <v>2031</v>
      </c>
      <c r="C244" s="36">
        <v>0.267532861824052</v>
      </c>
      <c r="D244" s="36">
        <v>0.267499570642925</v>
      </c>
      <c r="E244" s="36">
        <v>0.267494140407437</v>
      </c>
    </row>
    <row r="245" spans="1:5">
      <c r="A245" s="36" t="s">
        <v>11</v>
      </c>
      <c r="B245" s="36">
        <v>2032</v>
      </c>
      <c r="C245" s="36">
        <v>0.268278647666526</v>
      </c>
      <c r="D245" s="36">
        <v>0.26824473854197</v>
      </c>
      <c r="E245" s="36">
        <v>0.268242001689802</v>
      </c>
    </row>
    <row r="246" spans="1:5">
      <c r="A246" s="36" t="s">
        <v>11</v>
      </c>
      <c r="B246" s="36">
        <v>2033</v>
      </c>
      <c r="C246" s="36">
        <v>0.269043460474352</v>
      </c>
      <c r="D246" s="36">
        <v>0.269009027001477</v>
      </c>
      <c r="E246" s="36">
        <v>0.269008950072956</v>
      </c>
    </row>
    <row r="247" spans="1:5">
      <c r="A247" s="36" t="s">
        <v>11</v>
      </c>
      <c r="B247" s="36">
        <v>2034</v>
      </c>
      <c r="C247" s="36">
        <v>0.269827318678822</v>
      </c>
      <c r="D247" s="36">
        <v>0.269792495400635</v>
      </c>
      <c r="E247" s="36">
        <v>0.269795134422842</v>
      </c>
    </row>
    <row r="248" spans="1:5">
      <c r="A248" s="36" t="s">
        <v>11</v>
      </c>
      <c r="B248" s="36">
        <v>2035</v>
      </c>
      <c r="C248" s="36">
        <v>0.270630206113868</v>
      </c>
      <c r="D248" s="36">
        <v>0.270595171674327</v>
      </c>
      <c r="E248" s="36">
        <v>0.270600681532198</v>
      </c>
    </row>
    <row r="249" spans="1:5">
      <c r="A249" s="36" t="s">
        <v>11</v>
      </c>
      <c r="B249" s="36">
        <v>2036</v>
      </c>
      <c r="C249" s="36">
        <v>0.271451896296862</v>
      </c>
      <c r="D249" s="36">
        <v>0.271416946184611</v>
      </c>
      <c r="E249" s="36">
        <v>0.271425483622204</v>
      </c>
    </row>
    <row r="250" spans="1:5">
      <c r="A250" s="36" t="s">
        <v>11</v>
      </c>
      <c r="B250" s="36">
        <v>2037</v>
      </c>
      <c r="C250" s="36">
        <v>0.272292444822294</v>
      </c>
      <c r="D250" s="36">
        <v>0.272257872847332</v>
      </c>
      <c r="E250" s="36">
        <v>0.27226952241265</v>
      </c>
    </row>
    <row r="251" spans="1:5">
      <c r="A251" s="36" t="s">
        <v>11</v>
      </c>
      <c r="B251" s="36">
        <v>2038</v>
      </c>
      <c r="C251" s="36">
        <v>0.273151702936076</v>
      </c>
      <c r="D251" s="36">
        <v>0.273117870270529</v>
      </c>
      <c r="E251" s="36">
        <v>0.273132527991242</v>
      </c>
    </row>
    <row r="252" spans="1:5">
      <c r="A252" s="36" t="s">
        <v>11</v>
      </c>
      <c r="B252" s="36">
        <v>2039</v>
      </c>
      <c r="C252" s="36">
        <v>0.274029479186429</v>
      </c>
      <c r="D252" s="36">
        <v>0.273996817965153</v>
      </c>
      <c r="E252" s="36">
        <v>0.274014175454678</v>
      </c>
    </row>
    <row r="253" spans="1:5">
      <c r="A253" s="36" t="s">
        <v>11</v>
      </c>
      <c r="B253" s="36">
        <v>2040</v>
      </c>
      <c r="C253" s="36">
        <v>0.274925538049837</v>
      </c>
      <c r="D253" s="36">
        <v>0.27489455464672</v>
      </c>
      <c r="E253" s="36">
        <v>0.274914083865867</v>
      </c>
    </row>
    <row r="254" spans="1:5">
      <c r="A254" s="36" t="s">
        <v>11</v>
      </c>
      <c r="B254" s="36">
        <v>2041</v>
      </c>
      <c r="C254" s="36">
        <v>0.275838190780382</v>
      </c>
      <c r="D254" s="36">
        <v>0.275810042791059</v>
      </c>
      <c r="E254" s="36">
        <v>0.275830623949629</v>
      </c>
    </row>
    <row r="255" spans="1:5">
      <c r="A255" s="36" t="s">
        <v>11</v>
      </c>
      <c r="B255" s="36">
        <v>2042</v>
      </c>
      <c r="C255" s="36">
        <v>0.276768338686235</v>
      </c>
      <c r="D255" s="36">
        <v>0.276743642927812</v>
      </c>
      <c r="E255" s="36">
        <v>0.276764672392123</v>
      </c>
    </row>
    <row r="256" spans="1:5">
      <c r="A256" s="36" t="s">
        <v>11</v>
      </c>
      <c r="B256" s="36">
        <v>2043</v>
      </c>
      <c r="C256" s="36">
        <v>0.277715490347302</v>
      </c>
      <c r="D256" s="36">
        <v>0.277694864682031</v>
      </c>
      <c r="E256" s="36">
        <v>0.277715936868959</v>
      </c>
    </row>
    <row r="257" spans="1:5">
      <c r="A257" s="36" t="s">
        <v>11</v>
      </c>
      <c r="B257" s="36">
        <v>2044</v>
      </c>
      <c r="C257" s="36">
        <v>0.278679099638706</v>
      </c>
      <c r="D257" s="36">
        <v>0.278663159269617</v>
      </c>
      <c r="E257" s="36">
        <v>0.278684084204327</v>
      </c>
    </row>
    <row r="258" spans="1:5">
      <c r="A258" s="36" t="s">
        <v>11</v>
      </c>
      <c r="B258" s="36">
        <v>2045</v>
      </c>
      <c r="C258" s="36">
        <v>0.27965856601229</v>
      </c>
      <c r="D258" s="36">
        <v>0.279647919633844</v>
      </c>
      <c r="E258" s="36">
        <v>0.279668739488316</v>
      </c>
    </row>
    <row r="259" spans="1:5">
      <c r="A259" s="36" t="s">
        <v>11</v>
      </c>
      <c r="B259" s="36">
        <v>2046</v>
      </c>
      <c r="C259" s="36">
        <v>0.280653217044045</v>
      </c>
      <c r="D259" s="36">
        <v>0.280648383077022</v>
      </c>
      <c r="E259" s="36">
        <v>0.280669323814025</v>
      </c>
    </row>
    <row r="260" spans="1:5">
      <c r="A260" s="36" t="s">
        <v>11</v>
      </c>
      <c r="B260" s="36">
        <v>2047</v>
      </c>
      <c r="C260" s="36">
        <v>0.281662341848206</v>
      </c>
      <c r="D260" s="36">
        <v>0.281663735379562</v>
      </c>
      <c r="E260" s="36">
        <v>0.281684932283485</v>
      </c>
    </row>
    <row r="261" spans="1:5">
      <c r="A261" s="36" t="s">
        <v>11</v>
      </c>
      <c r="B261" s="36">
        <v>2048</v>
      </c>
      <c r="C261" s="36">
        <v>0.282685159546246</v>
      </c>
      <c r="D261" s="36">
        <v>0.282693002488425</v>
      </c>
      <c r="E261" s="36">
        <v>0.282714428448247</v>
      </c>
    </row>
    <row r="262" spans="1:5">
      <c r="A262" s="36" t="s">
        <v>11</v>
      </c>
      <c r="B262" s="36">
        <v>2049</v>
      </c>
      <c r="C262" s="36">
        <v>0.283720838598618</v>
      </c>
      <c r="D262" s="36">
        <v>0.283735148009313</v>
      </c>
      <c r="E262" s="36">
        <v>0.28375660456385</v>
      </c>
    </row>
    <row r="263" spans="1:5">
      <c r="A263" s="36" t="s">
        <v>11</v>
      </c>
      <c r="B263" s="36">
        <v>2050</v>
      </c>
      <c r="C263" s="36">
        <v>0.284768499087049</v>
      </c>
      <c r="D263" s="36">
        <v>0.284789076930744</v>
      </c>
      <c r="E263" s="36">
        <v>0.284810186570649</v>
      </c>
    </row>
    <row r="264" spans="1:5">
      <c r="A264" s="36" t="s">
        <v>11</v>
      </c>
      <c r="B264" s="36">
        <v>2051</v>
      </c>
      <c r="C264" s="36">
        <v>0.285826110948155</v>
      </c>
      <c r="D264" s="36">
        <v>0.285852454466798</v>
      </c>
      <c r="E264" s="36">
        <v>0.28587239758047</v>
      </c>
    </row>
    <row r="265" spans="1:5">
      <c r="A265" s="36" t="s">
        <v>11</v>
      </c>
      <c r="B265" s="36">
        <v>2052</v>
      </c>
      <c r="C265" s="36">
        <v>0.28689406948291</v>
      </c>
      <c r="D265" s="36">
        <v>0.286925862027801</v>
      </c>
      <c r="E265" s="36">
        <v>0.286944245743456</v>
      </c>
    </row>
    <row r="266" spans="1:5">
      <c r="A266" s="36" t="s">
        <v>11</v>
      </c>
      <c r="B266" s="36">
        <v>2053</v>
      </c>
      <c r="C266" s="36">
        <v>0.287971664131091</v>
      </c>
      <c r="D266" s="36">
        <v>0.288008704166289</v>
      </c>
      <c r="E266" s="36">
        <v>0.288025322776994</v>
      </c>
    </row>
    <row r="267" spans="1:5">
      <c r="A267" s="36" t="s">
        <v>11</v>
      </c>
      <c r="B267" s="36">
        <v>2054</v>
      </c>
      <c r="C267" s="36">
        <v>0.289058156279387</v>
      </c>
      <c r="D267" s="36">
        <v>0.289100363245273</v>
      </c>
      <c r="E267" s="36">
        <v>0.289115206198746</v>
      </c>
    </row>
    <row r="268" spans="1:5">
      <c r="A268" s="36" t="s">
        <v>11</v>
      </c>
      <c r="B268" s="36">
        <v>2055</v>
      </c>
      <c r="C268" s="36">
        <v>0.290152780617898</v>
      </c>
      <c r="D268" s="36">
        <v>0.29020019970604</v>
      </c>
      <c r="E268" s="36">
        <v>0.290213457941242</v>
      </c>
    </row>
    <row r="269" spans="1:5">
      <c r="A269" s="36" t="s">
        <v>11</v>
      </c>
      <c r="B269" s="36">
        <v>2056</v>
      </c>
      <c r="C269" s="36">
        <v>0.291254713015145</v>
      </c>
      <c r="D269" s="36">
        <v>0.291307483612714</v>
      </c>
      <c r="E269" s="36">
        <v>0.291319507907083</v>
      </c>
    </row>
    <row r="270" spans="1:5">
      <c r="A270" s="36" t="s">
        <v>11</v>
      </c>
      <c r="B270" s="36">
        <v>2057</v>
      </c>
      <c r="C270" s="36">
        <v>0.292362969972626</v>
      </c>
      <c r="D270" s="36">
        <v>0.292421186022064</v>
      </c>
      <c r="E270" s="36">
        <v>0.292432303009117</v>
      </c>
    </row>
    <row r="271" spans="1:5">
      <c r="A271" s="36" t="s">
        <v>11</v>
      </c>
      <c r="B271" s="36">
        <v>2058</v>
      </c>
      <c r="C271" s="36">
        <v>0.293476509824576</v>
      </c>
      <c r="D271" s="36">
        <v>0.293540182913664</v>
      </c>
      <c r="E271" s="36">
        <v>0.293550645923199</v>
      </c>
    </row>
    <row r="272" spans="1:5">
      <c r="A272" s="36" t="s">
        <v>11</v>
      </c>
      <c r="B272" s="36">
        <v>2059</v>
      </c>
      <c r="C272" s="36">
        <v>0.294594269772941</v>
      </c>
      <c r="D272" s="36">
        <v>0.29466332767132</v>
      </c>
      <c r="E272" s="36">
        <v>0.294673313900879</v>
      </c>
    </row>
    <row r="273" spans="1:5">
      <c r="A273" s="36" t="s">
        <v>11</v>
      </c>
      <c r="B273" s="36">
        <v>2060</v>
      </c>
      <c r="C273" s="36">
        <v>0.295715169894992</v>
      </c>
      <c r="D273" s="36">
        <v>0.295789455839898</v>
      </c>
      <c r="E273" s="36">
        <v>0.295799064241805</v>
      </c>
    </row>
    <row r="274" spans="1:5">
      <c r="A274" s="36" t="s">
        <v>11</v>
      </c>
      <c r="B274" s="36">
        <v>2061</v>
      </c>
      <c r="C274" s="36">
        <v>0.296838102871961</v>
      </c>
      <c r="D274" s="36">
        <v>0.296917356298609</v>
      </c>
      <c r="E274" s="36">
        <v>0.296926584675655</v>
      </c>
    </row>
    <row r="275" spans="1:5">
      <c r="A275" s="36" t="s">
        <v>11</v>
      </c>
      <c r="B275" s="36">
        <v>2062</v>
      </c>
      <c r="C275" s="36">
        <v>0.29796189497627</v>
      </c>
      <c r="D275" s="36">
        <v>0.298045675066391</v>
      </c>
      <c r="E275" s="36">
        <v>0.298054333324507</v>
      </c>
    </row>
    <row r="276" spans="1:5">
      <c r="A276" s="36" t="s">
        <v>11</v>
      </c>
      <c r="B276" s="36">
        <v>2063</v>
      </c>
      <c r="C276" s="36">
        <v>0.299085354048556</v>
      </c>
      <c r="D276" s="36">
        <v>0.299173022554411</v>
      </c>
      <c r="E276" s="36">
        <v>0.299180711942488</v>
      </c>
    </row>
    <row r="277" spans="1:5">
      <c r="A277" s="36" t="s">
        <v>11</v>
      </c>
      <c r="B277" s="36">
        <v>2064</v>
      </c>
      <c r="C277" s="36">
        <v>0.300207289092527</v>
      </c>
      <c r="D277" s="36">
        <v>0.300298014321151</v>
      </c>
      <c r="E277" s="36">
        <v>0.300304130183548</v>
      </c>
    </row>
    <row r="278" spans="1:5">
      <c r="A278" s="36" t="s">
        <v>11</v>
      </c>
      <c r="B278" s="36">
        <v>2065</v>
      </c>
      <c r="C278" s="36">
        <v>0.301326515480237</v>
      </c>
      <c r="D278" s="36">
        <v>0.301419278119465</v>
      </c>
      <c r="E278" s="36">
        <v>0.301423014635207</v>
      </c>
    </row>
    <row r="279" spans="1:5">
      <c r="A279" s="36" t="s">
        <v>11</v>
      </c>
      <c r="B279" s="36">
        <v>2066</v>
      </c>
      <c r="C279" s="36">
        <v>0.302441927733557</v>
      </c>
      <c r="D279" s="36">
        <v>0.302535562909782</v>
      </c>
      <c r="E279" s="36">
        <v>0.302536039598001</v>
      </c>
    </row>
    <row r="280" spans="1:5">
      <c r="A280" s="36" t="s">
        <v>11</v>
      </c>
      <c r="B280" s="36">
        <v>2067</v>
      </c>
      <c r="C280" s="36">
        <v>0.303552704885825</v>
      </c>
      <c r="D280" s="36">
        <v>0.303646047902516</v>
      </c>
      <c r="E280" s="36">
        <v>0.303642792882179</v>
      </c>
    </row>
    <row r="281" spans="1:5">
      <c r="A281" s="36" t="s">
        <v>11</v>
      </c>
      <c r="B281" s="36">
        <v>2068</v>
      </c>
      <c r="C281" s="36">
        <v>0.304658106261279</v>
      </c>
      <c r="D281" s="36">
        <v>0.304750033203729</v>
      </c>
      <c r="E281" s="36">
        <v>0.304743097524103</v>
      </c>
    </row>
    <row r="282" spans="1:5">
      <c r="A282" s="36" t="s">
        <v>11</v>
      </c>
      <c r="B282" s="36">
        <v>2069</v>
      </c>
      <c r="C282" s="36">
        <v>0.305757404416075</v>
      </c>
      <c r="D282" s="36">
        <v>0.305846837619116</v>
      </c>
      <c r="E282" s="36">
        <v>0.305836784111949</v>
      </c>
    </row>
    <row r="283" spans="1:5">
      <c r="A283" s="36" t="s">
        <v>11</v>
      </c>
      <c r="B283" s="36">
        <v>2070</v>
      </c>
      <c r="C283" s="36">
        <v>0.306849886122672</v>
      </c>
      <c r="D283" s="36">
        <v>0.306935799191107</v>
      </c>
      <c r="E283" s="36">
        <v>0.306923686720732</v>
      </c>
    </row>
    <row r="284" spans="1:5">
      <c r="A284" s="36" t="s">
        <v>11</v>
      </c>
      <c r="B284" s="36">
        <v>2071</v>
      </c>
      <c r="C284" s="36">
        <v>0.307934739701678</v>
      </c>
      <c r="D284" s="36">
        <v>0.30801618601545</v>
      </c>
      <c r="E284" s="36">
        <v>0.308003384699501</v>
      </c>
    </row>
    <row r="285" spans="1:5">
      <c r="A285" s="36" t="s">
        <v>11</v>
      </c>
      <c r="B285" s="36">
        <v>2072</v>
      </c>
      <c r="C285" s="36">
        <v>0.309010723737009</v>
      </c>
      <c r="D285" s="36">
        <v>0.309086934529307</v>
      </c>
      <c r="E285" s="36">
        <v>0.309074455436356</v>
      </c>
    </row>
    <row r="286" spans="1:5">
      <c r="A286" s="36" t="s">
        <v>11</v>
      </c>
      <c r="B286" s="36">
        <v>2073</v>
      </c>
      <c r="C286" s="36">
        <v>0.310076526444781</v>
      </c>
      <c r="D286" s="36">
        <v>0.310146932779239</v>
      </c>
      <c r="E286" s="36">
        <v>0.310135273370719</v>
      </c>
    </row>
    <row r="287" spans="1:5">
      <c r="A287" s="36" t="s">
        <v>11</v>
      </c>
      <c r="B287" s="36">
        <v>2074</v>
      </c>
      <c r="C287" s="36">
        <v>0.311130887402765</v>
      </c>
      <c r="D287" s="36">
        <v>0.311195116063664</v>
      </c>
      <c r="E287" s="36">
        <v>0.311184277372944</v>
      </c>
    </row>
    <row r="288" spans="1:5">
      <c r="A288" s="36" t="s">
        <v>11</v>
      </c>
      <c r="B288" s="36">
        <v>2075</v>
      </c>
      <c r="C288" s="36">
        <v>0.312172603259455</v>
      </c>
      <c r="D288" s="36">
        <v>0.312230470997431</v>
      </c>
      <c r="E288" s="36">
        <v>0.312219978838619</v>
      </c>
    </row>
    <row r="289" spans="1:5">
      <c r="A289" s="36" t="s">
        <v>11</v>
      </c>
      <c r="B289" s="36">
        <v>2076</v>
      </c>
      <c r="C289" s="36">
        <v>0.313200668267306</v>
      </c>
      <c r="D289" s="36">
        <v>0.313252156914194</v>
      </c>
      <c r="E289" s="36">
        <v>0.313241240925453</v>
      </c>
    </row>
    <row r="290" spans="1:5">
      <c r="A290" s="36" t="s">
        <v>11</v>
      </c>
      <c r="B290" s="36">
        <v>2077</v>
      </c>
      <c r="C290" s="36">
        <v>0.314214669872785</v>
      </c>
      <c r="D290" s="36">
        <v>0.314259849249296</v>
      </c>
      <c r="E290" s="36">
        <v>0.314248070609762</v>
      </c>
    </row>
    <row r="291" spans="1:5">
      <c r="A291" s="36" t="s">
        <v>11</v>
      </c>
      <c r="B291" s="36">
        <v>2078</v>
      </c>
      <c r="C291" s="36">
        <v>0.315214357364031</v>
      </c>
      <c r="D291" s="36">
        <v>0.31525336366013</v>
      </c>
      <c r="E291" s="36">
        <v>0.315240750193777</v>
      </c>
    </row>
    <row r="292" spans="1:5">
      <c r="A292" s="36" t="s">
        <v>11</v>
      </c>
      <c r="B292" s="36">
        <v>2079</v>
      </c>
      <c r="C292" s="36">
        <v>0.316199501195567</v>
      </c>
      <c r="D292" s="36">
        <v>0.316232533060069</v>
      </c>
      <c r="E292" s="36">
        <v>0.316219553001598</v>
      </c>
    </row>
    <row r="293" spans="1:5">
      <c r="A293" s="36" t="s">
        <v>11</v>
      </c>
      <c r="B293" s="36">
        <v>2080</v>
      </c>
      <c r="C293" s="36">
        <v>0.317169891320034</v>
      </c>
      <c r="D293" s="36">
        <v>0.317197205630008</v>
      </c>
      <c r="E293" s="36">
        <v>0.3171847385796</v>
      </c>
    </row>
    <row r="294" spans="1:5">
      <c r="A294" s="36" t="s">
        <v>11</v>
      </c>
      <c r="B294" s="36">
        <v>2081</v>
      </c>
      <c r="C294" s="36">
        <v>0.31812519180013</v>
      </c>
      <c r="D294" s="36">
        <v>0.318147054503218</v>
      </c>
      <c r="E294" s="36">
        <v>0.318136202749834</v>
      </c>
    </row>
    <row r="295" spans="1:5">
      <c r="A295" s="36" t="s">
        <v>11</v>
      </c>
      <c r="B295" s="36">
        <v>2082</v>
      </c>
      <c r="C295" s="36">
        <v>0.319064528901955</v>
      </c>
      <c r="D295" s="36">
        <v>0.319081038078615</v>
      </c>
      <c r="E295" s="36">
        <v>0.319072487301749</v>
      </c>
    </row>
    <row r="296" spans="1:5">
      <c r="A296" s="36" t="s">
        <v>11</v>
      </c>
      <c r="B296" s="36">
        <v>2083</v>
      </c>
      <c r="C296" s="36">
        <v>0.319986959774122</v>
      </c>
      <c r="D296" s="36">
        <v>0.319998014217198</v>
      </c>
      <c r="E296" s="36">
        <v>0.319991906140204</v>
      </c>
    </row>
    <row r="297" spans="1:5">
      <c r="A297" s="36" t="s">
        <v>11</v>
      </c>
      <c r="B297" s="36">
        <v>2084</v>
      </c>
      <c r="C297" s="36">
        <v>0.320891623696049</v>
      </c>
      <c r="D297" s="36">
        <v>0.320896938587018</v>
      </c>
      <c r="E297" s="36">
        <v>0.320892909111297</v>
      </c>
    </row>
    <row r="298" spans="1:5">
      <c r="A298" s="36" t="s">
        <v>11</v>
      </c>
      <c r="B298" s="36">
        <v>2085</v>
      </c>
      <c r="C298" s="36">
        <v>0.321777743723833</v>
      </c>
      <c r="D298" s="36">
        <v>0.321776866962733</v>
      </c>
      <c r="E298" s="36">
        <v>0.321774086458792</v>
      </c>
    </row>
    <row r="299" spans="1:5">
      <c r="A299" s="36" t="s">
        <v>11</v>
      </c>
      <c r="B299" s="36">
        <v>2086</v>
      </c>
      <c r="C299" s="36">
        <v>0.322644709934413</v>
      </c>
      <c r="D299" s="36">
        <v>0.3226371193842</v>
      </c>
      <c r="E299" s="36">
        <v>0.322634481713207</v>
      </c>
    </row>
    <row r="300" spans="1:5">
      <c r="A300" s="36" t="s">
        <v>11</v>
      </c>
      <c r="B300" s="36">
        <v>2087</v>
      </c>
      <c r="C300" s="36">
        <v>0.323492312130874</v>
      </c>
      <c r="D300" s="36">
        <v>0.323477740630796</v>
      </c>
      <c r="E300" s="36">
        <v>0.323474469140605</v>
      </c>
    </row>
    <row r="301" spans="1:5">
      <c r="A301" s="36" t="s">
        <v>11</v>
      </c>
      <c r="B301" s="36">
        <v>2088</v>
      </c>
      <c r="C301" s="36">
        <v>0.324320466389426</v>
      </c>
      <c r="D301" s="36">
        <v>0.324298960406185</v>
      </c>
      <c r="E301" s="36">
        <v>0.324294726630636</v>
      </c>
    </row>
    <row r="302" spans="1:5">
      <c r="A302" s="36" t="s">
        <v>11</v>
      </c>
      <c r="B302" s="36">
        <v>2089</v>
      </c>
      <c r="C302" s="36">
        <v>0.325129127295983</v>
      </c>
      <c r="D302" s="36">
        <v>0.32510102086722</v>
      </c>
      <c r="E302" s="36">
        <v>0.32509590850122</v>
      </c>
    </row>
    <row r="303" spans="1:5">
      <c r="A303" s="36" t="s">
        <v>11</v>
      </c>
      <c r="B303" s="36">
        <v>2090</v>
      </c>
      <c r="C303" s="36">
        <v>0.325918286047196</v>
      </c>
      <c r="D303" s="36">
        <v>0.325884174249605</v>
      </c>
      <c r="E303" s="36">
        <v>0.325878642384989</v>
      </c>
    </row>
    <row r="304" spans="1:5">
      <c r="A304" s="36" t="s">
        <v>11</v>
      </c>
      <c r="B304" s="36">
        <v>2091</v>
      </c>
      <c r="C304" s="36">
        <v>0.326687975124814</v>
      </c>
      <c r="D304" s="36">
        <v>0.326648620419919</v>
      </c>
      <c r="E304" s="36">
        <v>0.326643379225378</v>
      </c>
    </row>
    <row r="305" spans="1:5">
      <c r="A305" s="36" t="s">
        <v>11</v>
      </c>
      <c r="B305" s="36">
        <v>2092</v>
      </c>
      <c r="C305" s="36">
        <v>0.327438284831035</v>
      </c>
      <c r="D305" s="36">
        <v>0.327394336206669</v>
      </c>
      <c r="E305" s="36">
        <v>0.327389978683198</v>
      </c>
    </row>
    <row r="306" spans="1:5">
      <c r="A306" s="36" t="s">
        <v>11</v>
      </c>
      <c r="B306" s="36">
        <v>2093</v>
      </c>
      <c r="C306" s="36">
        <v>0.328169339108755</v>
      </c>
      <c r="D306" s="36">
        <v>0.328121275741488</v>
      </c>
      <c r="E306" s="36">
        <v>0.328118201715543</v>
      </c>
    </row>
    <row r="307" spans="1:5">
      <c r="A307" s="36" t="s">
        <v>11</v>
      </c>
      <c r="B307" s="36">
        <v>2094</v>
      </c>
      <c r="C307" s="36">
        <v>0.328881286636814</v>
      </c>
      <c r="D307" s="36">
        <v>0.328829432021299</v>
      </c>
      <c r="E307" s="36">
        <v>0.328827863907008</v>
      </c>
    </row>
    <row r="308" spans="1:5">
      <c r="A308" s="36" t="s">
        <v>11</v>
      </c>
      <c r="B308" s="36">
        <v>2095</v>
      </c>
      <c r="C308" s="36">
        <v>0.329574298921877</v>
      </c>
      <c r="D308" s="36">
        <v>0.329518835056705</v>
      </c>
      <c r="E308" s="36">
        <v>0.329518833735364</v>
      </c>
    </row>
    <row r="309" spans="1:5">
      <c r="A309" s="36" t="s">
        <v>11</v>
      </c>
      <c r="B309" s="36">
        <v>2096</v>
      </c>
      <c r="C309" s="36">
        <v>0.330248568442062</v>
      </c>
      <c r="D309" s="36">
        <v>0.33018954994047</v>
      </c>
      <c r="E309" s="36">
        <v>0.330191030595239</v>
      </c>
    </row>
    <row r="310" spans="1:5">
      <c r="A310" s="36" t="s">
        <v>11</v>
      </c>
      <c r="B310" s="36">
        <v>2097</v>
      </c>
      <c r="C310" s="36">
        <v>0.330904306848403</v>
      </c>
      <c r="D310" s="36">
        <v>0.33084167485491</v>
      </c>
      <c r="E310" s="36">
        <v>0.330844422612287</v>
      </c>
    </row>
    <row r="311" spans="1:5">
      <c r="A311" s="36" t="s">
        <v>11</v>
      </c>
      <c r="B311" s="36">
        <v>2098</v>
      </c>
      <c r="C311" s="36">
        <v>0.331541743229183</v>
      </c>
      <c r="D311" s="36">
        <v>0.331475339036169</v>
      </c>
      <c r="E311" s="36">
        <v>0.331479024280429</v>
      </c>
    </row>
    <row r="312" spans="1:5">
      <c r="A312" s="36" t="s">
        <v>11</v>
      </c>
      <c r="B312" s="36">
        <v>2099</v>
      </c>
      <c r="C312" s="36">
        <v>0.332161122441184</v>
      </c>
      <c r="D312" s="36">
        <v>0.332090700712302</v>
      </c>
      <c r="E312" s="36">
        <v>0.332094893954403</v>
      </c>
    </row>
    <row r="313" spans="1:5">
      <c r="A313" s="36" t="s">
        <v>11</v>
      </c>
      <c r="B313" s="36">
        <v>2100</v>
      </c>
      <c r="C313" s="36">
        <v>0.332762703510943</v>
      </c>
      <c r="D313" s="36">
        <v>0.332687945030996</v>
      </c>
      <c r="E313" s="36">
        <v>0.332692131229059</v>
      </c>
    </row>
    <row r="314" spans="1:5">
      <c r="A314" s="36" t="s">
        <v>12</v>
      </c>
      <c r="B314" s="36">
        <v>2023</v>
      </c>
      <c r="C314" s="36">
        <v>0.396636624608041</v>
      </c>
      <c r="D314" s="36">
        <v>0.397243901893156</v>
      </c>
      <c r="E314" s="36">
        <v>0.396828126600107</v>
      </c>
    </row>
    <row r="315" spans="1:5">
      <c r="A315" s="36" t="s">
        <v>12</v>
      </c>
      <c r="B315" s="36">
        <v>2024</v>
      </c>
      <c r="C315" s="36">
        <v>0.396433255747235</v>
      </c>
      <c r="D315" s="36">
        <v>0.396967878447756</v>
      </c>
      <c r="E315" s="36">
        <v>0.396622521828898</v>
      </c>
    </row>
    <row r="316" spans="1:5">
      <c r="A316" s="36" t="s">
        <v>12</v>
      </c>
      <c r="B316" s="36">
        <v>2025</v>
      </c>
      <c r="C316" s="36">
        <v>0.396224014283686</v>
      </c>
      <c r="D316" s="36">
        <v>0.396681606165534</v>
      </c>
      <c r="E316" s="36">
        <v>0.396411739657071</v>
      </c>
    </row>
    <row r="317" spans="1:5">
      <c r="A317" s="36" t="s">
        <v>12</v>
      </c>
      <c r="B317" s="36">
        <v>2026</v>
      </c>
      <c r="C317" s="36">
        <v>0.395730614290698</v>
      </c>
      <c r="D317" s="36">
        <v>0.396166887106758</v>
      </c>
      <c r="E317" s="36">
        <v>0.395884677034634</v>
      </c>
    </row>
    <row r="318" spans="1:5">
      <c r="A318" s="36" t="s">
        <v>12</v>
      </c>
      <c r="B318" s="36">
        <v>2027</v>
      </c>
      <c r="C318" s="36">
        <v>0.395223796860994</v>
      </c>
      <c r="D318" s="36">
        <v>0.395631231258909</v>
      </c>
      <c r="E318" s="36">
        <v>0.395345808677767</v>
      </c>
    </row>
    <row r="319" spans="1:5">
      <c r="A319" s="36" t="s">
        <v>12</v>
      </c>
      <c r="B319" s="36">
        <v>2028</v>
      </c>
      <c r="C319" s="36">
        <v>0.394705639694415</v>
      </c>
      <c r="D319" s="36">
        <v>0.395077557671735</v>
      </c>
      <c r="E319" s="36">
        <v>0.394797663509893</v>
      </c>
    </row>
    <row r="320" spans="1:5">
      <c r="A320" s="36" t="s">
        <v>12</v>
      </c>
      <c r="B320" s="36">
        <v>2029</v>
      </c>
      <c r="C320" s="36">
        <v>0.39417841328338</v>
      </c>
      <c r="D320" s="36">
        <v>0.394509101130187</v>
      </c>
      <c r="E320" s="36">
        <v>0.394243002639147</v>
      </c>
    </row>
    <row r="321" spans="1:5">
      <c r="A321" s="36" t="s">
        <v>12</v>
      </c>
      <c r="B321" s="36">
        <v>2030</v>
      </c>
      <c r="C321" s="36">
        <v>0.393644582770575</v>
      </c>
      <c r="D321" s="36">
        <v>0.393929423211501</v>
      </c>
      <c r="E321" s="36">
        <v>0.393684817429568</v>
      </c>
    </row>
    <row r="322" spans="1:5">
      <c r="A322" s="36" t="s">
        <v>12</v>
      </c>
      <c r="B322" s="36">
        <v>2031</v>
      </c>
      <c r="C322" s="36">
        <v>0.393023438703609</v>
      </c>
      <c r="D322" s="36">
        <v>0.393284667309712</v>
      </c>
      <c r="E322" s="36">
        <v>0.393038268229792</v>
      </c>
    </row>
    <row r="323" spans="1:5">
      <c r="A323" s="36" t="s">
        <v>12</v>
      </c>
      <c r="B323" s="36">
        <v>2032</v>
      </c>
      <c r="C323" s="36">
        <v>0.392392188035729</v>
      </c>
      <c r="D323" s="36">
        <v>0.392628355365523</v>
      </c>
      <c r="E323" s="36">
        <v>0.392384002036284</v>
      </c>
    </row>
    <row r="324" spans="1:5">
      <c r="A324" s="36" t="s">
        <v>12</v>
      </c>
      <c r="B324" s="36">
        <v>2033</v>
      </c>
      <c r="C324" s="36">
        <v>0.391749816877143</v>
      </c>
      <c r="D324" s="36">
        <v>0.391959799459829</v>
      </c>
      <c r="E324" s="36">
        <v>0.391720215224204</v>
      </c>
    </row>
    <row r="325" spans="1:5">
      <c r="A325" s="36" t="s">
        <v>12</v>
      </c>
      <c r="B325" s="36">
        <v>2034</v>
      </c>
      <c r="C325" s="36">
        <v>0.391095230155054</v>
      </c>
      <c r="D325" s="36">
        <v>0.39127825660818</v>
      </c>
      <c r="E325" s="36">
        <v>0.391044934533557</v>
      </c>
    </row>
    <row r="326" spans="1:5">
      <c r="A326" s="36" t="s">
        <v>12</v>
      </c>
      <c r="B326" s="36">
        <v>2035</v>
      </c>
      <c r="C326" s="36">
        <v>0.390427253094144</v>
      </c>
      <c r="D326" s="36">
        <v>0.390582929991894</v>
      </c>
      <c r="E326" s="36">
        <v>0.390356020509294</v>
      </c>
    </row>
    <row r="327" spans="1:5">
      <c r="A327" s="36" t="s">
        <v>12</v>
      </c>
      <c r="B327" s="36">
        <v>2036</v>
      </c>
      <c r="C327" s="36">
        <v>0.389735924802997</v>
      </c>
      <c r="D327" s="36">
        <v>0.389865637910901</v>
      </c>
      <c r="E327" s="36">
        <v>0.38964165548599</v>
      </c>
    </row>
    <row r="328" spans="1:5">
      <c r="A328" s="36" t="s">
        <v>12</v>
      </c>
      <c r="B328" s="36">
        <v>2037</v>
      </c>
      <c r="C328" s="36">
        <v>0.389030528686283</v>
      </c>
      <c r="D328" s="36">
        <v>0.389132589672469</v>
      </c>
      <c r="E328" s="36">
        <v>0.388912347894906</v>
      </c>
    </row>
    <row r="329" spans="1:5">
      <c r="A329" s="36" t="s">
        <v>12</v>
      </c>
      <c r="B329" s="36">
        <v>2038</v>
      </c>
      <c r="C329" s="36">
        <v>0.388312226529002</v>
      </c>
      <c r="D329" s="36">
        <v>0.388383029684548</v>
      </c>
      <c r="E329" s="36">
        <v>0.388169793826871</v>
      </c>
    </row>
    <row r="330" spans="1:5">
      <c r="A330" s="36" t="s">
        <v>12</v>
      </c>
      <c r="B330" s="36">
        <v>2039</v>
      </c>
      <c r="C330" s="36">
        <v>0.387582281736505</v>
      </c>
      <c r="D330" s="36">
        <v>0.387616170909702</v>
      </c>
      <c r="E330" s="36">
        <v>0.387415834266799</v>
      </c>
    </row>
    <row r="331" spans="1:5">
      <c r="A331" s="36" t="s">
        <v>12</v>
      </c>
      <c r="B331" s="36">
        <v>2040</v>
      </c>
      <c r="C331" s="36">
        <v>0.386842057234988</v>
      </c>
      <c r="D331" s="36">
        <v>0.386831197696672</v>
      </c>
      <c r="E331" s="36">
        <v>0.386652451094328</v>
      </c>
    </row>
    <row r="332" spans="1:5">
      <c r="A332" s="36" t="s">
        <v>12</v>
      </c>
      <c r="B332" s="36">
        <v>2041</v>
      </c>
      <c r="C332" s="36">
        <v>0.386000954224292</v>
      </c>
      <c r="D332" s="36">
        <v>0.385970729293908</v>
      </c>
      <c r="E332" s="36">
        <v>0.385793830371129</v>
      </c>
    </row>
    <row r="333" spans="1:5">
      <c r="A333" s="36" t="s">
        <v>12</v>
      </c>
      <c r="B333" s="36">
        <v>2042</v>
      </c>
      <c r="C333" s="36">
        <v>0.385149000583075</v>
      </c>
      <c r="D333" s="36">
        <v>0.385092215905867</v>
      </c>
      <c r="E333" s="36">
        <v>0.384928121508245</v>
      </c>
    </row>
    <row r="334" spans="1:5">
      <c r="A334" s="36" t="s">
        <v>12</v>
      </c>
      <c r="B334" s="36">
        <v>2043</v>
      </c>
      <c r="C334" s="36">
        <v>0.384288593964136</v>
      </c>
      <c r="D334" s="36">
        <v>0.384199570377295</v>
      </c>
      <c r="E334" s="36">
        <v>0.384060135557882</v>
      </c>
    </row>
    <row r="335" spans="1:5">
      <c r="A335" s="36" t="s">
        <v>12</v>
      </c>
      <c r="B335" s="36">
        <v>2044</v>
      </c>
      <c r="C335" s="36">
        <v>0.38342227486666</v>
      </c>
      <c r="D335" s="36">
        <v>0.383296996623172</v>
      </c>
      <c r="E335" s="36">
        <v>0.383194949739569</v>
      </c>
    </row>
    <row r="336" spans="1:5">
      <c r="A336" s="36" t="s">
        <v>12</v>
      </c>
      <c r="B336" s="36">
        <v>2045</v>
      </c>
      <c r="C336" s="36">
        <v>0.382552714022297</v>
      </c>
      <c r="D336" s="36">
        <v>0.382388969704531</v>
      </c>
      <c r="E336" s="36">
        <v>0.382337874898824</v>
      </c>
    </row>
    <row r="337" spans="1:5">
      <c r="A337" s="36" t="s">
        <v>12</v>
      </c>
      <c r="B337" s="36">
        <v>2046</v>
      </c>
      <c r="C337" s="36">
        <v>0.381680427732329</v>
      </c>
      <c r="D337" s="36">
        <v>0.381477977306737</v>
      </c>
      <c r="E337" s="36">
        <v>0.381483957570476</v>
      </c>
    </row>
    <row r="338" spans="1:5">
      <c r="A338" s="36" t="s">
        <v>12</v>
      </c>
      <c r="B338" s="36">
        <v>2047</v>
      </c>
      <c r="C338" s="36">
        <v>0.38080164566849</v>
      </c>
      <c r="D338" s="36">
        <v>0.380561417739513</v>
      </c>
      <c r="E338" s="36">
        <v>0.380633574922499</v>
      </c>
    </row>
    <row r="339" spans="1:5">
      <c r="A339" s="36" t="s">
        <v>12</v>
      </c>
      <c r="B339" s="36">
        <v>2048</v>
      </c>
      <c r="C339" s="36">
        <v>0.379910034950199</v>
      </c>
      <c r="D339" s="36">
        <v>0.379634212056312</v>
      </c>
      <c r="E339" s="36">
        <v>0.379776397059756</v>
      </c>
    </row>
    <row r="340" spans="1:5">
      <c r="A340" s="36" t="s">
        <v>12</v>
      </c>
      <c r="B340" s="36">
        <v>2049</v>
      </c>
      <c r="C340" s="36">
        <v>0.37899893576785</v>
      </c>
      <c r="D340" s="36">
        <v>0.378690999684363</v>
      </c>
      <c r="E340" s="36">
        <v>0.378901551646645</v>
      </c>
    </row>
    <row r="341" spans="1:5">
      <c r="A341" s="36" t="s">
        <v>12</v>
      </c>
      <c r="B341" s="36">
        <v>2050</v>
      </c>
      <c r="C341" s="36">
        <v>0.378061395318697</v>
      </c>
      <c r="D341" s="36">
        <v>0.377726171312786</v>
      </c>
      <c r="E341" s="36">
        <v>0.377997677694342</v>
      </c>
    </row>
    <row r="342" spans="1:5">
      <c r="A342" s="36" t="s">
        <v>12</v>
      </c>
      <c r="B342" s="36">
        <v>2051</v>
      </c>
      <c r="C342" s="36">
        <v>0.377016768212273</v>
      </c>
      <c r="D342" s="36">
        <v>0.376647589012996</v>
      </c>
      <c r="E342" s="36">
        <v>0.376947322942543</v>
      </c>
    </row>
    <row r="343" spans="1:5">
      <c r="A343" s="36" t="s">
        <v>12</v>
      </c>
      <c r="B343" s="36">
        <v>2052</v>
      </c>
      <c r="C343" s="36">
        <v>0.37594363697037</v>
      </c>
      <c r="D343" s="36">
        <v>0.375544899523209</v>
      </c>
      <c r="E343" s="36">
        <v>0.375861429636038</v>
      </c>
    </row>
    <row r="344" spans="1:5">
      <c r="A344" s="36" t="s">
        <v>12</v>
      </c>
      <c r="B344" s="36">
        <v>2053</v>
      </c>
      <c r="C344" s="36">
        <v>0.374849553722977</v>
      </c>
      <c r="D344" s="36">
        <v>0.374424162729158</v>
      </c>
      <c r="E344" s="36">
        <v>0.3747487087557</v>
      </c>
    </row>
    <row r="345" spans="1:5">
      <c r="A345" s="36" t="s">
        <v>12</v>
      </c>
      <c r="B345" s="36">
        <v>2054</v>
      </c>
      <c r="C345" s="36">
        <v>0.373742462956263</v>
      </c>
      <c r="D345" s="36">
        <v>0.373291745688455</v>
      </c>
      <c r="E345" s="36">
        <v>0.373618352350981</v>
      </c>
    </row>
    <row r="346" spans="1:5">
      <c r="A346" s="36" t="s">
        <v>12</v>
      </c>
      <c r="B346" s="36">
        <v>2055</v>
      </c>
      <c r="C346" s="36">
        <v>0.372630642530987</v>
      </c>
      <c r="D346" s="36">
        <v>0.372154272355099</v>
      </c>
      <c r="E346" s="36">
        <v>0.37247996766519</v>
      </c>
    </row>
    <row r="347" spans="1:5">
      <c r="A347" s="36" t="s">
        <v>12</v>
      </c>
      <c r="B347" s="36">
        <v>2056</v>
      </c>
      <c r="C347" s="36">
        <v>0.371520399640657</v>
      </c>
      <c r="D347" s="36">
        <v>0.371017309210294</v>
      </c>
      <c r="E347" s="36">
        <v>0.371342014634757</v>
      </c>
    </row>
    <row r="348" spans="1:5">
      <c r="A348" s="36" t="s">
        <v>12</v>
      </c>
      <c r="B348" s="36">
        <v>2057</v>
      </c>
      <c r="C348" s="36">
        <v>0.370409182407856</v>
      </c>
      <c r="D348" s="36">
        <v>0.36988147445693</v>
      </c>
      <c r="E348" s="36">
        <v>0.370207199764828</v>
      </c>
    </row>
    <row r="349" spans="1:5">
      <c r="A349" s="36" t="s">
        <v>12</v>
      </c>
      <c r="B349" s="36">
        <v>2058</v>
      </c>
      <c r="C349" s="36">
        <v>0.369292070892178</v>
      </c>
      <c r="D349" s="36">
        <v>0.368746077743242</v>
      </c>
      <c r="E349" s="36">
        <v>0.369076734823715</v>
      </c>
    </row>
    <row r="350" spans="1:5">
      <c r="A350" s="36" t="s">
        <v>12</v>
      </c>
      <c r="B350" s="36">
        <v>2059</v>
      </c>
      <c r="C350" s="36">
        <v>0.368164031057395</v>
      </c>
      <c r="D350" s="36">
        <v>0.36761037310114</v>
      </c>
      <c r="E350" s="36">
        <v>0.367951789974362</v>
      </c>
    </row>
    <row r="351" spans="1:5">
      <c r="A351" s="36" t="s">
        <v>12</v>
      </c>
      <c r="B351" s="36">
        <v>2060</v>
      </c>
      <c r="C351" s="36">
        <v>0.367019969456146</v>
      </c>
      <c r="D351" s="36">
        <v>0.366473573830997</v>
      </c>
      <c r="E351" s="36">
        <v>0.366833489880773</v>
      </c>
    </row>
    <row r="352" spans="1:5">
      <c r="A352" s="36" t="s">
        <v>12</v>
      </c>
      <c r="B352" s="36">
        <v>2061</v>
      </c>
      <c r="C352" s="36">
        <v>0.365856702176813</v>
      </c>
      <c r="D352" s="36">
        <v>0.365334626814518</v>
      </c>
      <c r="E352" s="36">
        <v>0.365722429818975</v>
      </c>
    </row>
    <row r="353" spans="1:5">
      <c r="A353" s="36" t="s">
        <v>12</v>
      </c>
      <c r="B353" s="36">
        <v>2062</v>
      </c>
      <c r="C353" s="36">
        <v>0.3646787690984</v>
      </c>
      <c r="D353" s="36">
        <v>0.364191504267312</v>
      </c>
      <c r="E353" s="36">
        <v>0.364617227601419</v>
      </c>
    </row>
    <row r="354" spans="1:5">
      <c r="A354" s="36" t="s">
        <v>12</v>
      </c>
      <c r="B354" s="36">
        <v>2063</v>
      </c>
      <c r="C354" s="36">
        <v>0.363492736106161</v>
      </c>
      <c r="D354" s="36">
        <v>0.363041945898846</v>
      </c>
      <c r="E354" s="36">
        <v>0.363515968391955</v>
      </c>
    </row>
    <row r="355" spans="1:5">
      <c r="A355" s="36" t="s">
        <v>12</v>
      </c>
      <c r="B355" s="36">
        <v>2064</v>
      </c>
      <c r="C355" s="36">
        <v>0.362305232662591</v>
      </c>
      <c r="D355" s="36">
        <v>0.361883729237157</v>
      </c>
      <c r="E355" s="36">
        <v>0.362416707836192</v>
      </c>
    </row>
    <row r="356" spans="1:5">
      <c r="A356" s="36" t="s">
        <v>12</v>
      </c>
      <c r="B356" s="36">
        <v>2065</v>
      </c>
      <c r="C356" s="36">
        <v>0.36112288821024</v>
      </c>
      <c r="D356" s="36">
        <v>0.360714701021056</v>
      </c>
      <c r="E356" s="36">
        <v>0.361317496664381</v>
      </c>
    </row>
    <row r="357" spans="1:5">
      <c r="A357" s="36" t="s">
        <v>12</v>
      </c>
      <c r="B357" s="36">
        <v>2066</v>
      </c>
      <c r="C357" s="36">
        <v>0.359950864015145</v>
      </c>
      <c r="D357" s="36">
        <v>0.359534698130378</v>
      </c>
      <c r="E357" s="36">
        <v>0.36021597623418</v>
      </c>
    </row>
    <row r="358" spans="1:5">
      <c r="A358" s="36" t="s">
        <v>12</v>
      </c>
      <c r="B358" s="36">
        <v>2067</v>
      </c>
      <c r="C358" s="36">
        <v>0.358788626967104</v>
      </c>
      <c r="D358" s="36">
        <v>0.35835117422</v>
      </c>
      <c r="E358" s="36">
        <v>0.359108129464628</v>
      </c>
    </row>
    <row r="359" spans="1:5">
      <c r="A359" s="36" t="s">
        <v>12</v>
      </c>
      <c r="B359" s="36">
        <v>2068</v>
      </c>
      <c r="C359" s="36">
        <v>0.357634226404479</v>
      </c>
      <c r="D359" s="36">
        <v>0.357173383754262</v>
      </c>
      <c r="E359" s="36">
        <v>0.357989626543501</v>
      </c>
    </row>
    <row r="360" spans="1:5">
      <c r="A360" s="36" t="s">
        <v>12</v>
      </c>
      <c r="B360" s="36">
        <v>2069</v>
      </c>
      <c r="C360" s="36">
        <v>0.356485734109838</v>
      </c>
      <c r="D360" s="36">
        <v>0.356010389356664</v>
      </c>
      <c r="E360" s="36">
        <v>0.35685630752181</v>
      </c>
    </row>
    <row r="361" spans="1:5">
      <c r="A361" s="36" t="s">
        <v>12</v>
      </c>
      <c r="B361" s="36">
        <v>2070</v>
      </c>
      <c r="C361" s="36">
        <v>0.35534127161057</v>
      </c>
      <c r="D361" s="36">
        <v>0.35487097577727</v>
      </c>
      <c r="E361" s="36">
        <v>0.355704236929336</v>
      </c>
    </row>
    <row r="362" spans="1:5">
      <c r="A362" s="36" t="s">
        <v>12</v>
      </c>
      <c r="B362" s="36">
        <v>2071</v>
      </c>
      <c r="C362" s="36">
        <v>0.354200021053511</v>
      </c>
      <c r="D362" s="36">
        <v>0.353761267613846</v>
      </c>
      <c r="E362" s="36">
        <v>0.354532894013062</v>
      </c>
    </row>
    <row r="363" spans="1:5">
      <c r="A363" s="36" t="s">
        <v>12</v>
      </c>
      <c r="B363" s="36">
        <v>2072</v>
      </c>
      <c r="C363" s="36">
        <v>0.353065128074025</v>
      </c>
      <c r="D363" s="36">
        <v>0.352677922988118</v>
      </c>
      <c r="E363" s="36">
        <v>0.353354386428094</v>
      </c>
    </row>
    <row r="364" spans="1:5">
      <c r="A364" s="36" t="s">
        <v>12</v>
      </c>
      <c r="B364" s="36">
        <v>2073</v>
      </c>
      <c r="C364" s="36">
        <v>0.351940614782217</v>
      </c>
      <c r="D364" s="36">
        <v>0.351615360812833</v>
      </c>
      <c r="E364" s="36">
        <v>0.352183588569461</v>
      </c>
    </row>
    <row r="365" spans="1:5">
      <c r="A365" s="36" t="s">
        <v>12</v>
      </c>
      <c r="B365" s="36">
        <v>2074</v>
      </c>
      <c r="C365" s="36">
        <v>0.350830346864984</v>
      </c>
      <c r="D365" s="36">
        <v>0.350568157899796</v>
      </c>
      <c r="E365" s="36">
        <v>0.351034804471801</v>
      </c>
    </row>
    <row r="366" spans="1:5">
      <c r="A366" s="36" t="s">
        <v>12</v>
      </c>
      <c r="B366" s="36">
        <v>2075</v>
      </c>
      <c r="C366" s="36">
        <v>0.349738004168448</v>
      </c>
      <c r="D366" s="36">
        <v>0.349531096118145</v>
      </c>
      <c r="E366" s="36">
        <v>0.34992163620881</v>
      </c>
    </row>
    <row r="367" spans="1:5">
      <c r="A367" s="36" t="s">
        <v>12</v>
      </c>
      <c r="B367" s="36">
        <v>2076</v>
      </c>
      <c r="C367" s="36">
        <v>0.348666103601923</v>
      </c>
      <c r="D367" s="36">
        <v>0.348500344314958</v>
      </c>
      <c r="E367" s="36">
        <v>0.348852499953732</v>
      </c>
    </row>
    <row r="368" spans="1:5">
      <c r="A368" s="36" t="s">
        <v>12</v>
      </c>
      <c r="B368" s="36">
        <v>2077</v>
      </c>
      <c r="C368" s="36">
        <v>0.347613232979855</v>
      </c>
      <c r="D368" s="36">
        <v>0.347476783153938</v>
      </c>
      <c r="E368" s="36">
        <v>0.347817894253485</v>
      </c>
    </row>
    <row r="369" spans="1:5">
      <c r="A369" s="36" t="s">
        <v>12</v>
      </c>
      <c r="B369" s="36">
        <v>2078</v>
      </c>
      <c r="C369" s="36">
        <v>0.346577098291478</v>
      </c>
      <c r="D369" s="36">
        <v>0.34646238827625</v>
      </c>
      <c r="E369" s="36">
        <v>0.346804436926219</v>
      </c>
    </row>
    <row r="370" spans="1:5">
      <c r="A370" s="36" t="s">
        <v>12</v>
      </c>
      <c r="B370" s="36">
        <v>2079</v>
      </c>
      <c r="C370" s="36">
        <v>0.345555522045708</v>
      </c>
      <c r="D370" s="36">
        <v>0.345459052514769</v>
      </c>
      <c r="E370" s="36">
        <v>0.345799453331523</v>
      </c>
    </row>
    <row r="371" spans="1:5">
      <c r="A371" s="36" t="s">
        <v>12</v>
      </c>
      <c r="B371" s="36">
        <v>2080</v>
      </c>
      <c r="C371" s="36">
        <v>0.34454646282582</v>
      </c>
      <c r="D371" s="36">
        <v>0.344468575095686</v>
      </c>
      <c r="E371" s="36">
        <v>0.344791068645349</v>
      </c>
    </row>
    <row r="372" spans="1:5">
      <c r="A372" s="36" t="s">
        <v>12</v>
      </c>
      <c r="B372" s="36">
        <v>2081</v>
      </c>
      <c r="C372" s="36">
        <v>0.343548816795054</v>
      </c>
      <c r="D372" s="36">
        <v>0.343492603541435</v>
      </c>
      <c r="E372" s="36">
        <v>0.343771919247825</v>
      </c>
    </row>
    <row r="373" spans="1:5">
      <c r="A373" s="36" t="s">
        <v>12</v>
      </c>
      <c r="B373" s="36">
        <v>2082</v>
      </c>
      <c r="C373" s="36">
        <v>0.342564662998417</v>
      </c>
      <c r="D373" s="36">
        <v>0.342532487251846</v>
      </c>
      <c r="E373" s="36">
        <v>0.342749512619105</v>
      </c>
    </row>
    <row r="374" spans="1:5">
      <c r="A374" s="36" t="s">
        <v>12</v>
      </c>
      <c r="B374" s="36">
        <v>2083</v>
      </c>
      <c r="C374" s="36">
        <v>0.34159670225171</v>
      </c>
      <c r="D374" s="36">
        <v>0.341589429710171</v>
      </c>
      <c r="E374" s="36">
        <v>0.341734440327409</v>
      </c>
    </row>
    <row r="375" spans="1:5">
      <c r="A375" s="36" t="s">
        <v>12</v>
      </c>
      <c r="B375" s="36">
        <v>2084</v>
      </c>
      <c r="C375" s="36">
        <v>0.340647430891795</v>
      </c>
      <c r="D375" s="36">
        <v>0.34066453464222</v>
      </c>
      <c r="E375" s="36">
        <v>0.340736551454126</v>
      </c>
    </row>
    <row r="376" spans="1:5">
      <c r="A376" s="36" t="s">
        <v>12</v>
      </c>
      <c r="B376" s="36">
        <v>2085</v>
      </c>
      <c r="C376" s="36">
        <v>0.339719129944708</v>
      </c>
      <c r="D376" s="36">
        <v>0.339758803009508</v>
      </c>
      <c r="E376" s="36">
        <v>0.339764884179168</v>
      </c>
    </row>
    <row r="377" spans="1:5">
      <c r="A377" s="36" t="s">
        <v>12</v>
      </c>
      <c r="B377" s="36">
        <v>2086</v>
      </c>
      <c r="C377" s="36">
        <v>0.338813366791171</v>
      </c>
      <c r="D377" s="36">
        <v>0.33887307849666</v>
      </c>
      <c r="E377" s="36">
        <v>0.338825590913057</v>
      </c>
    </row>
    <row r="378" spans="1:5">
      <c r="A378" s="36" t="s">
        <v>12</v>
      </c>
      <c r="B378" s="36">
        <v>2087</v>
      </c>
      <c r="C378" s="36">
        <v>0.337929611173345</v>
      </c>
      <c r="D378" s="36">
        <v>0.338007898584739</v>
      </c>
      <c r="E378" s="36">
        <v>0.33791621781172</v>
      </c>
    </row>
    <row r="379" spans="1:5">
      <c r="A379" s="36" t="s">
        <v>12</v>
      </c>
      <c r="B379" s="36">
        <v>2088</v>
      </c>
      <c r="C379" s="36">
        <v>0.337066872045587</v>
      </c>
      <c r="D379" s="36">
        <v>0.337163669728305</v>
      </c>
      <c r="E379" s="36">
        <v>0.337032506320706</v>
      </c>
    </row>
    <row r="380" spans="1:5">
      <c r="A380" s="36" t="s">
        <v>12</v>
      </c>
      <c r="B380" s="36">
        <v>2089</v>
      </c>
      <c r="C380" s="36">
        <v>0.336224216416594</v>
      </c>
      <c r="D380" s="36">
        <v>0.336340723808658</v>
      </c>
      <c r="E380" s="36">
        <v>0.336170537346738</v>
      </c>
    </row>
    <row r="381" spans="1:5">
      <c r="A381" s="36" t="s">
        <v>12</v>
      </c>
      <c r="B381" s="36">
        <v>2090</v>
      </c>
      <c r="C381" s="36">
        <v>0.335400773451718</v>
      </c>
      <c r="D381" s="36">
        <v>0.335539320082699</v>
      </c>
      <c r="E381" s="36">
        <v>0.335326741247364</v>
      </c>
    </row>
    <row r="382" spans="1:5">
      <c r="A382" s="36" t="s">
        <v>12</v>
      </c>
      <c r="B382" s="36">
        <v>2091</v>
      </c>
      <c r="C382" s="36">
        <v>0.334595926844134</v>
      </c>
      <c r="D382" s="36">
        <v>0.334759645927697</v>
      </c>
      <c r="E382" s="36">
        <v>0.334499037309593</v>
      </c>
    </row>
    <row r="383" spans="1:5">
      <c r="A383" s="36" t="s">
        <v>12</v>
      </c>
      <c r="B383" s="36">
        <v>2092</v>
      </c>
      <c r="C383" s="36">
        <v>0.333809842497448</v>
      </c>
      <c r="D383" s="36">
        <v>0.334001815051199</v>
      </c>
      <c r="E383" s="36">
        <v>0.333689971233579</v>
      </c>
    </row>
    <row r="384" spans="1:5">
      <c r="A384" s="36" t="s">
        <v>12</v>
      </c>
      <c r="B384" s="36">
        <v>2093</v>
      </c>
      <c r="C384" s="36">
        <v>0.33304282894635</v>
      </c>
      <c r="D384" s="36">
        <v>0.333265876010705</v>
      </c>
      <c r="E384" s="36">
        <v>0.332902869402615</v>
      </c>
    </row>
    <row r="385" spans="1:5">
      <c r="A385" s="36" t="s">
        <v>12</v>
      </c>
      <c r="B385" s="36">
        <v>2094</v>
      </c>
      <c r="C385" s="36">
        <v>0.332295138619954</v>
      </c>
      <c r="D385" s="36">
        <v>0.332551817220782</v>
      </c>
      <c r="E385" s="36">
        <v>0.332140643707823</v>
      </c>
    </row>
    <row r="386" spans="1:5">
      <c r="A386" s="36" t="s">
        <v>12</v>
      </c>
      <c r="B386" s="36">
        <v>2095</v>
      </c>
      <c r="C386" s="36">
        <v>0.331566968975548</v>
      </c>
      <c r="D386" s="36">
        <v>0.331859570450984</v>
      </c>
      <c r="E386" s="36">
        <v>0.331405798679645</v>
      </c>
    </row>
    <row r="387" spans="1:5">
      <c r="A387" s="36" t="s">
        <v>12</v>
      </c>
      <c r="B387" s="36">
        <v>2096</v>
      </c>
      <c r="C387" s="36">
        <v>0.330858463919723</v>
      </c>
      <c r="D387" s="36">
        <v>0.331189014475609</v>
      </c>
      <c r="E387" s="36">
        <v>0.330700445702619</v>
      </c>
    </row>
    <row r="388" spans="1:5">
      <c r="A388" s="36" t="s">
        <v>12</v>
      </c>
      <c r="B388" s="36">
        <v>2097</v>
      </c>
      <c r="C388" s="36">
        <v>0.330169715489358</v>
      </c>
      <c r="D388" s="36">
        <v>0.330539978828831</v>
      </c>
      <c r="E388" s="36">
        <v>0.330026323531294</v>
      </c>
    </row>
    <row r="389" spans="1:5">
      <c r="A389" s="36" t="s">
        <v>12</v>
      </c>
      <c r="B389" s="36">
        <v>2098</v>
      </c>
      <c r="C389" s="36">
        <v>0.329500765763737</v>
      </c>
      <c r="D389" s="36">
        <v>0.32991224762155</v>
      </c>
      <c r="E389" s="36">
        <v>0.329384824192887</v>
      </c>
    </row>
    <row r="390" spans="1:5">
      <c r="A390" s="36" t="s">
        <v>12</v>
      </c>
      <c r="B390" s="36">
        <v>2099</v>
      </c>
      <c r="C390" s="36">
        <v>0.328851608978262</v>
      </c>
      <c r="D390" s="36">
        <v>0.329305563379623</v>
      </c>
      <c r="E390" s="36">
        <v>0.32877702329162</v>
      </c>
    </row>
    <row r="391" spans="1:5">
      <c r="A391" s="36" t="s">
        <v>12</v>
      </c>
      <c r="B391" s="36">
        <v>2100</v>
      </c>
      <c r="C391" s="36">
        <v>0.328222193809994</v>
      </c>
      <c r="D391" s="36">
        <v>0.328719630866603</v>
      </c>
      <c r="E391" s="36">
        <v>0.328203713717558</v>
      </c>
    </row>
    <row r="392" spans="1:5">
      <c r="A392" s="36" t="s">
        <v>7</v>
      </c>
      <c r="B392" s="36">
        <v>2023</v>
      </c>
      <c r="C392" s="36">
        <v>0.260631080766994</v>
      </c>
      <c r="D392" s="36">
        <v>0.260473389090169</v>
      </c>
      <c r="E392" s="36">
        <v>0.258131958564823</v>
      </c>
    </row>
    <row r="393" spans="1:5">
      <c r="A393" s="36" t="s">
        <v>7</v>
      </c>
      <c r="B393" s="36">
        <v>2024</v>
      </c>
      <c r="C393" s="36">
        <v>0.260530802714974</v>
      </c>
      <c r="D393" s="36">
        <v>0.260305227563809</v>
      </c>
      <c r="E393" s="36">
        <v>0.257793617664056</v>
      </c>
    </row>
    <row r="394" spans="1:5">
      <c r="A394" s="36" t="s">
        <v>7</v>
      </c>
      <c r="B394" s="36">
        <v>2025</v>
      </c>
      <c r="C394" s="36">
        <v>0.260495750584664</v>
      </c>
      <c r="D394" s="36">
        <v>0.260206974105218</v>
      </c>
      <c r="E394" s="36">
        <v>0.257651378284078</v>
      </c>
    </row>
    <row r="395" spans="1:5">
      <c r="A395" s="36" t="s">
        <v>7</v>
      </c>
      <c r="B395" s="36">
        <v>2026</v>
      </c>
      <c r="C395" s="36">
        <v>0.260511402751158</v>
      </c>
      <c r="D395" s="36">
        <v>0.260174224009697</v>
      </c>
      <c r="E395" s="36">
        <v>0.257672737347334</v>
      </c>
    </row>
    <row r="396" spans="1:5">
      <c r="A396" s="36" t="s">
        <v>7</v>
      </c>
      <c r="B396" s="36">
        <v>2027</v>
      </c>
      <c r="C396" s="36">
        <v>0.260579218732972</v>
      </c>
      <c r="D396" s="36">
        <v>0.260203877393265</v>
      </c>
      <c r="E396" s="36">
        <v>0.257843284169074</v>
      </c>
    </row>
    <row r="397" spans="1:5">
      <c r="A397" s="36" t="s">
        <v>7</v>
      </c>
      <c r="B397" s="36">
        <v>2028</v>
      </c>
      <c r="C397" s="36">
        <v>0.260690279156227</v>
      </c>
      <c r="D397" s="36">
        <v>0.260282506908813</v>
      </c>
      <c r="E397" s="36">
        <v>0.258119680347417</v>
      </c>
    </row>
    <row r="398" spans="1:5">
      <c r="A398" s="36" t="s">
        <v>7</v>
      </c>
      <c r="B398" s="36">
        <v>2029</v>
      </c>
      <c r="C398" s="36">
        <v>0.260835828919958</v>
      </c>
      <c r="D398" s="36">
        <v>0.260397047325786</v>
      </c>
      <c r="E398" s="36">
        <v>0.258457102363534</v>
      </c>
    </row>
    <row r="399" spans="1:5">
      <c r="A399" s="36" t="s">
        <v>7</v>
      </c>
      <c r="B399" s="36">
        <v>2030</v>
      </c>
      <c r="C399" s="36">
        <v>0.261006988515208</v>
      </c>
      <c r="D399" s="36">
        <v>0.260534313342565</v>
      </c>
      <c r="E399" s="36">
        <v>0.25880436798244</v>
      </c>
    </row>
    <row r="400" spans="1:5">
      <c r="A400" s="36" t="s">
        <v>7</v>
      </c>
      <c r="B400" s="36">
        <v>2031</v>
      </c>
      <c r="C400" s="36">
        <v>0.261192619256663</v>
      </c>
      <c r="D400" s="36">
        <v>0.26068095421738</v>
      </c>
      <c r="E400" s="36">
        <v>0.259107978056616</v>
      </c>
    </row>
    <row r="401" spans="1:5">
      <c r="A401" s="36" t="s">
        <v>7</v>
      </c>
      <c r="B401" s="36">
        <v>2032</v>
      </c>
      <c r="C401" s="36">
        <v>0.261389959176345</v>
      </c>
      <c r="D401" s="36">
        <v>0.26083491768381</v>
      </c>
      <c r="E401" s="36">
        <v>0.259376161180464</v>
      </c>
    </row>
    <row r="402" spans="1:5">
      <c r="A402" s="36" t="s">
        <v>7</v>
      </c>
      <c r="B402" s="36">
        <v>2033</v>
      </c>
      <c r="C402" s="36">
        <v>0.261594179787478</v>
      </c>
      <c r="D402" s="36">
        <v>0.260994373959723</v>
      </c>
      <c r="E402" s="36">
        <v>0.259625428710055</v>
      </c>
    </row>
    <row r="403" spans="1:5">
      <c r="A403" s="36" t="s">
        <v>7</v>
      </c>
      <c r="B403" s="36">
        <v>2034</v>
      </c>
      <c r="C403" s="36">
        <v>0.261800167836297</v>
      </c>
      <c r="D403" s="36">
        <v>0.261157400404965</v>
      </c>
      <c r="E403" s="36">
        <v>0.259874406962033</v>
      </c>
    </row>
    <row r="404" spans="1:5">
      <c r="A404" s="36" t="s">
        <v>7</v>
      </c>
      <c r="B404" s="36">
        <v>2035</v>
      </c>
      <c r="C404" s="36">
        <v>0.262002521598937</v>
      </c>
      <c r="D404" s="36">
        <v>0.261321977484481</v>
      </c>
      <c r="E404" s="36">
        <v>0.260143582509328</v>
      </c>
    </row>
    <row r="405" spans="1:5">
      <c r="A405" s="36" t="s">
        <v>7</v>
      </c>
      <c r="B405" s="36">
        <v>2036</v>
      </c>
      <c r="C405" s="36">
        <v>0.262198902828521</v>
      </c>
      <c r="D405" s="36">
        <v>0.261488654413647</v>
      </c>
      <c r="E405" s="36">
        <v>0.260453046827139</v>
      </c>
    </row>
    <row r="406" spans="1:5">
      <c r="A406" s="36" t="s">
        <v>7</v>
      </c>
      <c r="B406" s="36">
        <v>2037</v>
      </c>
      <c r="C406" s="36">
        <v>0.262401401022221</v>
      </c>
      <c r="D406" s="36">
        <v>0.26166996366349</v>
      </c>
      <c r="E406" s="36">
        <v>0.260819209163834</v>
      </c>
    </row>
    <row r="407" spans="1:5">
      <c r="A407" s="36" t="s">
        <v>7</v>
      </c>
      <c r="B407" s="36">
        <v>2038</v>
      </c>
      <c r="C407" s="36">
        <v>0.262626144685786</v>
      </c>
      <c r="D407" s="36">
        <v>0.261881809396136</v>
      </c>
      <c r="E407" s="36">
        <v>0.261258002112167</v>
      </c>
    </row>
    <row r="408" spans="1:5">
      <c r="A408" s="36" t="s">
        <v>7</v>
      </c>
      <c r="B408" s="36">
        <v>2039</v>
      </c>
      <c r="C408" s="36">
        <v>0.262890142233823</v>
      </c>
      <c r="D408" s="36">
        <v>0.262141058225308</v>
      </c>
      <c r="E408" s="36">
        <v>0.261787541403529</v>
      </c>
    </row>
    <row r="409" spans="1:5">
      <c r="A409" s="36" t="s">
        <v>7</v>
      </c>
      <c r="B409" s="36">
        <v>2040</v>
      </c>
      <c r="C409" s="36">
        <v>0.263211515698029</v>
      </c>
      <c r="D409" s="36">
        <v>0.262465881187121</v>
      </c>
      <c r="E409" s="36">
        <v>0.262428587180299</v>
      </c>
    </row>
    <row r="410" spans="1:5">
      <c r="A410" s="36" t="s">
        <v>7</v>
      </c>
      <c r="B410" s="36">
        <v>2041</v>
      </c>
      <c r="C410" s="36">
        <v>0.263599751101634</v>
      </c>
      <c r="D410" s="36">
        <v>0.262867386441037</v>
      </c>
      <c r="E410" s="36">
        <v>0.263186668712108</v>
      </c>
    </row>
    <row r="411" spans="1:5">
      <c r="A411" s="36" t="s">
        <v>7</v>
      </c>
      <c r="B411" s="36">
        <v>2042</v>
      </c>
      <c r="C411" s="36">
        <v>0.264042849466272</v>
      </c>
      <c r="D411" s="36">
        <v>0.263332722172377</v>
      </c>
      <c r="E411" s="36">
        <v>0.264043967925728</v>
      </c>
    </row>
    <row r="412" spans="1:5">
      <c r="A412" s="36" t="s">
        <v>7</v>
      </c>
      <c r="B412" s="36">
        <v>2043</v>
      </c>
      <c r="C412" s="36">
        <v>0.264517234085002</v>
      </c>
      <c r="D412" s="36">
        <v>0.263838449773766</v>
      </c>
      <c r="E412" s="36">
        <v>0.264958037066737</v>
      </c>
    </row>
    <row r="413" spans="1:5">
      <c r="A413" s="36" t="s">
        <v>7</v>
      </c>
      <c r="B413" s="36">
        <v>2044</v>
      </c>
      <c r="C413" s="36">
        <v>0.264997104203595</v>
      </c>
      <c r="D413" s="36">
        <v>0.26435846661824</v>
      </c>
      <c r="E413" s="36">
        <v>0.265878046557128</v>
      </c>
    </row>
    <row r="414" spans="1:5">
      <c r="A414" s="36" t="s">
        <v>7</v>
      </c>
      <c r="B414" s="36">
        <v>2045</v>
      </c>
      <c r="C414" s="36">
        <v>0.265454487925841</v>
      </c>
      <c r="D414" s="36">
        <v>0.26486394004552</v>
      </c>
      <c r="E414" s="36">
        <v>0.266745939520003</v>
      </c>
    </row>
    <row r="415" spans="1:5">
      <c r="A415" s="36" t="s">
        <v>7</v>
      </c>
      <c r="B415" s="36">
        <v>2046</v>
      </c>
      <c r="C415" s="36">
        <v>0.265867635861976</v>
      </c>
      <c r="D415" s="36">
        <v>0.265331655129511</v>
      </c>
      <c r="E415" s="36">
        <v>0.267518399392306</v>
      </c>
    </row>
    <row r="416" spans="1:5">
      <c r="A416" s="36" t="s">
        <v>7</v>
      </c>
      <c r="B416" s="36">
        <v>2047</v>
      </c>
      <c r="C416" s="36">
        <v>0.266247045087841</v>
      </c>
      <c r="D416" s="36">
        <v>0.26577008798477</v>
      </c>
      <c r="E416" s="36">
        <v>0.268232884151266</v>
      </c>
    </row>
    <row r="417" spans="1:5">
      <c r="A417" s="36" t="s">
        <v>7</v>
      </c>
      <c r="B417" s="36">
        <v>2048</v>
      </c>
      <c r="C417" s="36">
        <v>0.266612480999461</v>
      </c>
      <c r="D417" s="36">
        <v>0.26619703931101</v>
      </c>
      <c r="E417" s="36">
        <v>0.268952012613658</v>
      </c>
    </row>
    <row r="418" spans="1:5">
      <c r="A418" s="36" t="s">
        <v>7</v>
      </c>
      <c r="B418" s="36">
        <v>2049</v>
      </c>
      <c r="C418" s="36">
        <v>0.266984854394897</v>
      </c>
      <c r="D418" s="36">
        <v>0.266631626991811</v>
      </c>
      <c r="E418" s="36">
        <v>0.26974290778644</v>
      </c>
    </row>
    <row r="419" spans="1:5">
      <c r="A419" s="36" t="s">
        <v>7</v>
      </c>
      <c r="B419" s="36">
        <v>2050</v>
      </c>
      <c r="C419" s="36">
        <v>0.267386079540346</v>
      </c>
      <c r="D419" s="36">
        <v>0.267094105602631</v>
      </c>
      <c r="E419" s="36">
        <v>0.27067605033634</v>
      </c>
    </row>
    <row r="420" spans="1:5">
      <c r="A420" s="36" t="s">
        <v>7</v>
      </c>
      <c r="B420" s="36">
        <v>2051</v>
      </c>
      <c r="C420" s="36">
        <v>0.267829888472435</v>
      </c>
      <c r="D420" s="36">
        <v>0.26759802594988</v>
      </c>
      <c r="E420" s="36">
        <v>0.271788709191775</v>
      </c>
    </row>
    <row r="421" spans="1:5">
      <c r="A421" s="36" t="s">
        <v>7</v>
      </c>
      <c r="B421" s="36">
        <v>2052</v>
      </c>
      <c r="C421" s="36">
        <v>0.268308570622791</v>
      </c>
      <c r="D421" s="36">
        <v>0.268142802586857</v>
      </c>
      <c r="E421" s="36">
        <v>0.27304287386379</v>
      </c>
    </row>
    <row r="422" spans="1:5">
      <c r="A422" s="36" t="s">
        <v>7</v>
      </c>
      <c r="B422" s="36">
        <v>2053</v>
      </c>
      <c r="C422" s="36">
        <v>0.268804631967737</v>
      </c>
      <c r="D422" s="36">
        <v>0.26871965701068</v>
      </c>
      <c r="E422" s="36">
        <v>0.27435970595972</v>
      </c>
    </row>
    <row r="423" spans="1:5">
      <c r="A423" s="36" t="s">
        <v>7</v>
      </c>
      <c r="B423" s="36">
        <v>2054</v>
      </c>
      <c r="C423" s="36">
        <v>0.269299722620853</v>
      </c>
      <c r="D423" s="36">
        <v>0.269319154409776</v>
      </c>
      <c r="E423" s="36">
        <v>0.275657181241281</v>
      </c>
    </row>
    <row r="424" spans="1:5">
      <c r="A424" s="36" t="s">
        <v>7</v>
      </c>
      <c r="B424" s="36">
        <v>2055</v>
      </c>
      <c r="C424" s="36">
        <v>0.269774780917087</v>
      </c>
      <c r="D424" s="36">
        <v>0.269931252618554</v>
      </c>
      <c r="E424" s="36">
        <v>0.276854877951242</v>
      </c>
    </row>
    <row r="425" spans="1:5">
      <c r="A425" s="36" t="s">
        <v>7</v>
      </c>
      <c r="B425" s="36">
        <v>2056</v>
      </c>
      <c r="C425" s="36">
        <v>0.270216352132327</v>
      </c>
      <c r="D425" s="36">
        <v>0.270546741151642</v>
      </c>
      <c r="E425" s="36">
        <v>0.277887410209504</v>
      </c>
    </row>
    <row r="426" spans="1:5">
      <c r="A426" s="36" t="s">
        <v>7</v>
      </c>
      <c r="B426" s="36">
        <v>2057</v>
      </c>
      <c r="C426" s="36">
        <v>0.270635404250514</v>
      </c>
      <c r="D426" s="36">
        <v>0.271161472083182</v>
      </c>
      <c r="E426" s="36">
        <v>0.278732712315387</v>
      </c>
    </row>
    <row r="427" spans="1:5">
      <c r="A427" s="36" t="s">
        <v>7</v>
      </c>
      <c r="B427" s="36">
        <v>2058</v>
      </c>
      <c r="C427" s="36">
        <v>0.271049501237965</v>
      </c>
      <c r="D427" s="36">
        <v>0.27177257506782</v>
      </c>
      <c r="E427" s="36">
        <v>0.279381359506173</v>
      </c>
    </row>
    <row r="428" spans="1:5">
      <c r="A428" s="36" t="s">
        <v>7</v>
      </c>
      <c r="B428" s="36">
        <v>2059</v>
      </c>
      <c r="C428" s="36">
        <v>0.271476614604808</v>
      </c>
      <c r="D428" s="36">
        <v>0.27237717772573</v>
      </c>
      <c r="E428" s="36">
        <v>0.279825174423209</v>
      </c>
    </row>
    <row r="429" spans="1:5">
      <c r="A429" s="36" t="s">
        <v>7</v>
      </c>
      <c r="B429" s="36">
        <v>2060</v>
      </c>
      <c r="C429" s="36">
        <v>0.271934999291472</v>
      </c>
      <c r="D429" s="36">
        <v>0.272972439063083</v>
      </c>
      <c r="E429" s="36">
        <v>0.280055342102725</v>
      </c>
    </row>
    <row r="430" spans="1:5">
      <c r="A430" s="36" t="s">
        <v>7</v>
      </c>
      <c r="B430" s="36">
        <v>2061</v>
      </c>
      <c r="C430" s="36">
        <v>0.272435688773583</v>
      </c>
      <c r="D430" s="36">
        <v>0.273556367981761</v>
      </c>
      <c r="E430" s="36">
        <v>0.280068376637951</v>
      </c>
    </row>
    <row r="431" spans="1:5">
      <c r="A431" s="36" t="s">
        <v>7</v>
      </c>
      <c r="B431" s="36">
        <v>2062</v>
      </c>
      <c r="C431" s="36">
        <v>0.272960042806004</v>
      </c>
      <c r="D431" s="36">
        <v>0.27413021153332</v>
      </c>
      <c r="E431" s="36">
        <v>0.279888097186092</v>
      </c>
    </row>
    <row r="432" spans="1:5">
      <c r="A432" s="36" t="s">
        <v>7</v>
      </c>
      <c r="B432" s="36">
        <v>2063</v>
      </c>
      <c r="C432" s="36">
        <v>0.273481684653653</v>
      </c>
      <c r="D432" s="36">
        <v>0.274696087274954</v>
      </c>
      <c r="E432" s="36">
        <v>0.279543352153792</v>
      </c>
    </row>
    <row r="433" spans="1:5">
      <c r="A433" s="36" t="s">
        <v>7</v>
      </c>
      <c r="B433" s="36">
        <v>2064</v>
      </c>
      <c r="C433" s="36">
        <v>0.273974092580902</v>
      </c>
      <c r="D433" s="36">
        <v>0.275256162570946</v>
      </c>
      <c r="E433" s="36">
        <v>0.279061991162807</v>
      </c>
    </row>
    <row r="434" spans="1:5">
      <c r="A434" s="36" t="s">
        <v>7</v>
      </c>
      <c r="B434" s="36">
        <v>2065</v>
      </c>
      <c r="C434" s="36">
        <v>0.274410862947006</v>
      </c>
      <c r="D434" s="36">
        <v>0.275812620712711</v>
      </c>
      <c r="E434" s="36">
        <v>0.278472307064289</v>
      </c>
    </row>
    <row r="435" spans="1:5">
      <c r="A435" s="36" t="s">
        <v>7</v>
      </c>
      <c r="B435" s="36">
        <v>2066</v>
      </c>
      <c r="C435" s="36">
        <v>0.274776881245457</v>
      </c>
      <c r="D435" s="36">
        <v>0.27636763235403</v>
      </c>
      <c r="E435" s="36">
        <v>0.277814570807958</v>
      </c>
    </row>
    <row r="436" spans="1:5">
      <c r="A436" s="36" t="s">
        <v>7</v>
      </c>
      <c r="B436" s="36">
        <v>2067</v>
      </c>
      <c r="C436" s="36">
        <v>0.275101202325015</v>
      </c>
      <c r="D436" s="36">
        <v>0.276923335091275</v>
      </c>
      <c r="E436" s="36">
        <v>0.277173980658272</v>
      </c>
    </row>
    <row r="437" spans="1:5">
      <c r="A437" s="36" t="s">
        <v>7</v>
      </c>
      <c r="B437" s="36">
        <v>2068</v>
      </c>
      <c r="C437" s="36">
        <v>0.275423770833174</v>
      </c>
      <c r="D437" s="36">
        <v>0.277481790538357</v>
      </c>
      <c r="E437" s="36">
        <v>0.276649834109799</v>
      </c>
    </row>
    <row r="438" spans="1:5">
      <c r="A438" s="36" t="s">
        <v>7</v>
      </c>
      <c r="B438" s="36">
        <v>2069</v>
      </c>
      <c r="C438" s="36">
        <v>0.275784246535573</v>
      </c>
      <c r="D438" s="36">
        <v>0.278044948574522</v>
      </c>
      <c r="E438" s="36">
        <v>0.276343085658471</v>
      </c>
    </row>
    <row r="439" spans="1:5">
      <c r="A439" s="36" t="s">
        <v>7</v>
      </c>
      <c r="B439" s="36">
        <v>2070</v>
      </c>
      <c r="C439" s="36">
        <v>0.276221759955595</v>
      </c>
      <c r="D439" s="36">
        <v>0.278614614377051</v>
      </c>
      <c r="E439" s="36">
        <v>0.276354069774905</v>
      </c>
    </row>
    <row r="440" spans="1:5">
      <c r="A440" s="36" t="s">
        <v>7</v>
      </c>
      <c r="B440" s="36">
        <v>2071</v>
      </c>
      <c r="C440" s="36">
        <v>0.27676158063059</v>
      </c>
      <c r="D440" s="36">
        <v>0.279189714639147</v>
      </c>
      <c r="E440" s="36">
        <v>0.276739975760405</v>
      </c>
    </row>
    <row r="441" spans="1:5">
      <c r="A441" s="36" t="s">
        <v>7</v>
      </c>
      <c r="B441" s="36">
        <v>2072</v>
      </c>
      <c r="C441" s="36">
        <v>0.277376555041396</v>
      </c>
      <c r="D441" s="36">
        <v>0.279758464578941</v>
      </c>
      <c r="E441" s="36">
        <v>0.277393114329275</v>
      </c>
    </row>
    <row r="442" spans="1:5">
      <c r="A442" s="36" t="s">
        <v>7</v>
      </c>
      <c r="B442" s="36">
        <v>2073</v>
      </c>
      <c r="C442" s="36">
        <v>0.27802682488902</v>
      </c>
      <c r="D442" s="36">
        <v>0.280307048613677</v>
      </c>
      <c r="E442" s="36">
        <v>0.278164909456638</v>
      </c>
    </row>
    <row r="443" spans="1:5">
      <c r="A443" s="36" t="s">
        <v>7</v>
      </c>
      <c r="B443" s="36">
        <v>2074</v>
      </c>
      <c r="C443" s="36">
        <v>0.278673517840924</v>
      </c>
      <c r="D443" s="36">
        <v>0.280822515277504</v>
      </c>
      <c r="E443" s="36">
        <v>0.278910720208398</v>
      </c>
    </row>
    <row r="444" spans="1:5">
      <c r="A444" s="36" t="s">
        <v>7</v>
      </c>
      <c r="B444" s="36">
        <v>2075</v>
      </c>
      <c r="C444" s="36">
        <v>0.279279436054549</v>
      </c>
      <c r="D444" s="36">
        <v>0.281292826748281</v>
      </c>
      <c r="E444" s="36">
        <v>0.279493506325253</v>
      </c>
    </row>
    <row r="445" spans="1:5">
      <c r="A445" s="36" t="s">
        <v>7</v>
      </c>
      <c r="B445" s="36">
        <v>2076</v>
      </c>
      <c r="C445" s="36">
        <v>0.279819752971176</v>
      </c>
      <c r="D445" s="36">
        <v>0.281711536524722</v>
      </c>
      <c r="E445" s="36">
        <v>0.279827205572291</v>
      </c>
    </row>
    <row r="446" spans="1:5">
      <c r="A446" s="36" t="s">
        <v>7</v>
      </c>
      <c r="B446" s="36">
        <v>2077</v>
      </c>
      <c r="C446" s="36">
        <v>0.280311777714911</v>
      </c>
      <c r="D446" s="36">
        <v>0.282091308730708</v>
      </c>
      <c r="E446" s="36">
        <v>0.280001007161074</v>
      </c>
    </row>
    <row r="447" spans="1:5">
      <c r="A447" s="36" t="s">
        <v>7</v>
      </c>
      <c r="B447" s="36">
        <v>2078</v>
      </c>
      <c r="C447" s="36">
        <v>0.280782115236437</v>
      </c>
      <c r="D447" s="36">
        <v>0.282448763298567</v>
      </c>
      <c r="E447" s="36">
        <v>0.280143567242936</v>
      </c>
    </row>
    <row r="448" spans="1:5">
      <c r="A448" s="36" t="s">
        <v>7</v>
      </c>
      <c r="B448" s="36">
        <v>2079</v>
      </c>
      <c r="C448" s="36">
        <v>0.281256032297022</v>
      </c>
      <c r="D448" s="36">
        <v>0.28279965467301</v>
      </c>
      <c r="E448" s="36">
        <v>0.280380920271588</v>
      </c>
    </row>
    <row r="449" spans="1:5">
      <c r="A449" s="36" t="s">
        <v>7</v>
      </c>
      <c r="B449" s="36">
        <v>2080</v>
      </c>
      <c r="C449" s="36">
        <v>0.281757262805094</v>
      </c>
      <c r="D449" s="36">
        <v>0.283158859207069</v>
      </c>
      <c r="E449" s="36">
        <v>0.280835097931308</v>
      </c>
    </row>
    <row r="450" spans="1:5">
      <c r="A450" s="36" t="s">
        <v>7</v>
      </c>
      <c r="B450" s="36">
        <v>2081</v>
      </c>
      <c r="C450" s="36">
        <v>0.282300680600731</v>
      </c>
      <c r="D450" s="36">
        <v>0.283535972544951</v>
      </c>
      <c r="E450" s="36">
        <v>0.281573655150555</v>
      </c>
    </row>
    <row r="451" spans="1:5">
      <c r="A451" s="36" t="s">
        <v>7</v>
      </c>
      <c r="B451" s="36">
        <v>2082</v>
      </c>
      <c r="C451" s="36">
        <v>0.282872194271201</v>
      </c>
      <c r="D451" s="36">
        <v>0.283922870293597</v>
      </c>
      <c r="E451" s="36">
        <v>0.282478041743407</v>
      </c>
    </row>
    <row r="452" spans="1:5">
      <c r="A452" s="36" t="s">
        <v>7</v>
      </c>
      <c r="B452" s="36">
        <v>2083</v>
      </c>
      <c r="C452" s="36">
        <v>0.283451691541785</v>
      </c>
      <c r="D452" s="36">
        <v>0.28430772558818</v>
      </c>
      <c r="E452" s="36">
        <v>0.28339438707053</v>
      </c>
    </row>
    <row r="453" spans="1:5">
      <c r="A453" s="36" t="s">
        <v>7</v>
      </c>
      <c r="B453" s="36">
        <v>2084</v>
      </c>
      <c r="C453" s="36">
        <v>0.284020646954944</v>
      </c>
      <c r="D453" s="36">
        <v>0.284679564189046</v>
      </c>
      <c r="E453" s="36">
        <v>0.284188041408039</v>
      </c>
    </row>
    <row r="454" spans="1:5">
      <c r="A454" s="36" t="s">
        <v>7</v>
      </c>
      <c r="B454" s="36">
        <v>2085</v>
      </c>
      <c r="C454" s="36">
        <v>0.284562389370499</v>
      </c>
      <c r="D454" s="36">
        <v>0.285028299919438</v>
      </c>
      <c r="E454" s="36">
        <v>0.284744753811898</v>
      </c>
    </row>
    <row r="455" spans="1:5">
      <c r="A455" s="36" t="s">
        <v>7</v>
      </c>
      <c r="B455" s="36">
        <v>2086</v>
      </c>
      <c r="C455" s="36">
        <v>0.285065951145257</v>
      </c>
      <c r="D455" s="36">
        <v>0.285346674076477</v>
      </c>
      <c r="E455" s="36">
        <v>0.284999373720487</v>
      </c>
    </row>
    <row r="456" spans="1:5">
      <c r="A456" s="36" t="s">
        <v>7</v>
      </c>
      <c r="B456" s="36">
        <v>2087</v>
      </c>
      <c r="C456" s="36">
        <v>0.285536389849899</v>
      </c>
      <c r="D456" s="36">
        <v>0.285635791745979</v>
      </c>
      <c r="E456" s="36">
        <v>0.285031610810935</v>
      </c>
    </row>
    <row r="457" spans="1:5">
      <c r="A457" s="36" t="s">
        <v>7</v>
      </c>
      <c r="B457" s="36">
        <v>2088</v>
      </c>
      <c r="C457" s="36">
        <v>0.285981944892085</v>
      </c>
      <c r="D457" s="36">
        <v>0.285898608381896</v>
      </c>
      <c r="E457" s="36">
        <v>0.284948030966947</v>
      </c>
    </row>
    <row r="458" spans="1:5">
      <c r="A458" s="36" t="s">
        <v>7</v>
      </c>
      <c r="B458" s="36">
        <v>2089</v>
      </c>
      <c r="C458" s="36">
        <v>0.286410077913515</v>
      </c>
      <c r="D458" s="36">
        <v>0.286137884700044</v>
      </c>
      <c r="E458" s="36">
        <v>0.284852801960724</v>
      </c>
    </row>
    <row r="459" spans="1:5">
      <c r="A459" s="36" t="s">
        <v>7</v>
      </c>
      <c r="B459" s="36">
        <v>2090</v>
      </c>
      <c r="C459" s="36">
        <v>0.286827481467611</v>
      </c>
      <c r="D459" s="36">
        <v>0.286356202034725</v>
      </c>
      <c r="E459" s="36">
        <v>0.284851632598903</v>
      </c>
    </row>
    <row r="460" spans="1:5">
      <c r="A460" s="36" t="s">
        <v>7</v>
      </c>
      <c r="B460" s="36">
        <v>2091</v>
      </c>
      <c r="C460" s="36">
        <v>0.287238898150952</v>
      </c>
      <c r="D460" s="36">
        <v>0.286556806708565</v>
      </c>
      <c r="E460" s="36">
        <v>0.285020736339088</v>
      </c>
    </row>
    <row r="461" spans="1:5">
      <c r="A461" s="36" t="s">
        <v>7</v>
      </c>
      <c r="B461" s="36">
        <v>2092</v>
      </c>
      <c r="C461" s="36">
        <v>0.287643899358611</v>
      </c>
      <c r="D461" s="36">
        <v>0.286746017482304</v>
      </c>
      <c r="E461" s="36">
        <v>0.2853177414688</v>
      </c>
    </row>
    <row r="462" spans="1:5">
      <c r="A462" s="36" t="s">
        <v>7</v>
      </c>
      <c r="B462" s="36">
        <v>2093</v>
      </c>
      <c r="C462" s="36">
        <v>0.288040958645161</v>
      </c>
      <c r="D462" s="36">
        <v>0.286930604366307</v>
      </c>
      <c r="E462" s="36">
        <v>0.285671819743958</v>
      </c>
    </row>
    <row r="463" spans="1:5">
      <c r="A463" s="36" t="s">
        <v>7</v>
      </c>
      <c r="B463" s="36">
        <v>2094</v>
      </c>
      <c r="C463" s="36">
        <v>0.288428711566246</v>
      </c>
      <c r="D463" s="36">
        <v>0.287116959854573</v>
      </c>
      <c r="E463" s="36">
        <v>0.286016388148893</v>
      </c>
    </row>
    <row r="464" spans="1:5">
      <c r="A464" s="36" t="s">
        <v>7</v>
      </c>
      <c r="B464" s="36">
        <v>2095</v>
      </c>
      <c r="C464" s="36">
        <v>0.288805960348122</v>
      </c>
      <c r="D464" s="36">
        <v>0.287311092736553</v>
      </c>
      <c r="E464" s="36">
        <v>0.28629046418107</v>
      </c>
    </row>
    <row r="465" spans="1:5">
      <c r="A465" s="36" t="s">
        <v>7</v>
      </c>
      <c r="B465" s="36">
        <v>2096</v>
      </c>
      <c r="C465" s="36">
        <v>0.289171675569891</v>
      </c>
      <c r="D465" s="36">
        <v>0.287518590720102</v>
      </c>
      <c r="E465" s="36">
        <v>0.286437308426386</v>
      </c>
    </row>
    <row r="466" spans="1:5">
      <c r="A466" s="36" t="s">
        <v>7</v>
      </c>
      <c r="B466" s="36">
        <v>2097</v>
      </c>
      <c r="C466" s="36">
        <v>0.289524994966927</v>
      </c>
      <c r="D466" s="36">
        <v>0.287744552608614</v>
      </c>
      <c r="E466" s="36">
        <v>0.286400313633125</v>
      </c>
    </row>
    <row r="467" spans="1:5">
      <c r="A467" s="36" t="s">
        <v>7</v>
      </c>
      <c r="B467" s="36">
        <v>2098</v>
      </c>
      <c r="C467" s="36">
        <v>0.289865219557372</v>
      </c>
      <c r="D467" s="36">
        <v>0.287993491582813</v>
      </c>
      <c r="E467" s="36">
        <v>0.286116178851549</v>
      </c>
    </row>
    <row r="468" spans="1:5">
      <c r="A468" s="36" t="s">
        <v>7</v>
      </c>
      <c r="B468" s="36">
        <v>2099</v>
      </c>
      <c r="C468" s="36">
        <v>0.29019180737003</v>
      </c>
      <c r="D468" s="36">
        <v>0.288269212303374</v>
      </c>
      <c r="E468" s="36">
        <v>0.285505460200734</v>
      </c>
    </row>
    <row r="469" spans="1:5">
      <c r="A469" s="36" t="s">
        <v>7</v>
      </c>
      <c r="B469" s="36">
        <v>2100</v>
      </c>
      <c r="C469" s="36">
        <v>0.290504365108827</v>
      </c>
      <c r="D469" s="36">
        <v>0.28857466625358</v>
      </c>
      <c r="E469" s="36">
        <v>0.284461033218943</v>
      </c>
    </row>
    <row r="470" spans="1:5">
      <c r="A470" s="36" t="s">
        <v>4</v>
      </c>
      <c r="B470" s="36">
        <v>2023</v>
      </c>
      <c r="C470" s="36">
        <v>0.261096182373953</v>
      </c>
      <c r="D470" s="36">
        <v>0.263227299299837</v>
      </c>
      <c r="E470" s="36">
        <v>0.259912161084987</v>
      </c>
    </row>
    <row r="471" spans="1:5">
      <c r="A471" s="36" t="s">
        <v>4</v>
      </c>
      <c r="B471" s="36">
        <v>2024</v>
      </c>
      <c r="C471" s="36">
        <v>0.262035281278159</v>
      </c>
      <c r="D471" s="36">
        <v>0.263700453937471</v>
      </c>
      <c r="E471" s="36">
        <v>0.260707835972247</v>
      </c>
    </row>
    <row r="472" spans="1:5">
      <c r="A472" s="36" t="s">
        <v>4</v>
      </c>
      <c r="B472" s="36">
        <v>2025</v>
      </c>
      <c r="C472" s="36">
        <v>0.262978228400598</v>
      </c>
      <c r="D472" s="36">
        <v>0.264186844465473</v>
      </c>
      <c r="E472" s="36">
        <v>0.261516886363695</v>
      </c>
    </row>
    <row r="473" spans="1:5">
      <c r="A473" s="36" t="s">
        <v>4</v>
      </c>
      <c r="B473" s="36">
        <v>2026</v>
      </c>
      <c r="C473" s="36">
        <v>0.262739703194465</v>
      </c>
      <c r="D473" s="36">
        <v>0.26378813487255</v>
      </c>
      <c r="E473" s="36">
        <v>0.261370706153872</v>
      </c>
    </row>
    <row r="474" spans="1:5">
      <c r="A474" s="36" t="s">
        <v>4</v>
      </c>
      <c r="B474" s="36">
        <v>2027</v>
      </c>
      <c r="C474" s="36">
        <v>0.262585131115936</v>
      </c>
      <c r="D474" s="36">
        <v>0.263437222386013</v>
      </c>
      <c r="E474" s="36">
        <v>0.261293294842679</v>
      </c>
    </row>
    <row r="475" spans="1:5">
      <c r="A475" s="36" t="s">
        <v>4</v>
      </c>
      <c r="B475" s="36">
        <v>2028</v>
      </c>
      <c r="C475" s="36">
        <v>0.26249524040867</v>
      </c>
      <c r="D475" s="36">
        <v>0.26312841555916</v>
      </c>
      <c r="E475" s="36">
        <v>0.261265297751425</v>
      </c>
    </row>
    <row r="476" spans="1:5">
      <c r="A476" s="36" t="s">
        <v>4</v>
      </c>
      <c r="B476" s="36">
        <v>2029</v>
      </c>
      <c r="C476" s="36">
        <v>0.26244942921654</v>
      </c>
      <c r="D476" s="36">
        <v>0.262854867551743</v>
      </c>
      <c r="E476" s="36">
        <v>0.261266772545912</v>
      </c>
    </row>
    <row r="477" spans="1:5">
      <c r="A477" s="36" t="s">
        <v>4</v>
      </c>
      <c r="B477" s="36">
        <v>2030</v>
      </c>
      <c r="C477" s="36">
        <v>0.26242642125591</v>
      </c>
      <c r="D477" s="36">
        <v>0.262608805575059</v>
      </c>
      <c r="E477" s="36">
        <v>0.261277579809231</v>
      </c>
    </row>
    <row r="478" spans="1:5">
      <c r="A478" s="36" t="s">
        <v>4</v>
      </c>
      <c r="B478" s="36">
        <v>2031</v>
      </c>
      <c r="C478" s="36">
        <v>0.262046750887638</v>
      </c>
      <c r="D478" s="36">
        <v>0.262131318727832</v>
      </c>
      <c r="E478" s="36">
        <v>0.261011972565738</v>
      </c>
    </row>
    <row r="479" spans="1:5">
      <c r="A479" s="36" t="s">
        <v>4</v>
      </c>
      <c r="B479" s="36">
        <v>2032</v>
      </c>
      <c r="C479" s="36">
        <v>0.261656364411275</v>
      </c>
      <c r="D479" s="36">
        <v>0.261652825709861</v>
      </c>
      <c r="E479" s="36">
        <v>0.260730963740082</v>
      </c>
    </row>
    <row r="480" spans="1:5">
      <c r="A480" s="36" t="s">
        <v>4</v>
      </c>
      <c r="B480" s="36">
        <v>2033</v>
      </c>
      <c r="C480" s="36">
        <v>0.261260018561297</v>
      </c>
      <c r="D480" s="36">
        <v>0.261167521580115</v>
      </c>
      <c r="E480" s="36">
        <v>0.260440371070316</v>
      </c>
    </row>
    <row r="481" spans="1:5">
      <c r="A481" s="36" t="s">
        <v>4</v>
      </c>
      <c r="B481" s="36">
        <v>2034</v>
      </c>
      <c r="C481" s="36">
        <v>0.260862865676171</v>
      </c>
      <c r="D481" s="36">
        <v>0.260668981452633</v>
      </c>
      <c r="E481" s="36">
        <v>0.260146338191805</v>
      </c>
    </row>
    <row r="482" spans="1:5">
      <c r="A482" s="36" t="s">
        <v>4</v>
      </c>
      <c r="B482" s="36">
        <v>2035</v>
      </c>
      <c r="C482" s="36">
        <v>0.260470441866237</v>
      </c>
      <c r="D482" s="36">
        <v>0.260150168022257</v>
      </c>
      <c r="E482" s="36">
        <v>0.259855340820593</v>
      </c>
    </row>
    <row r="483" spans="1:5">
      <c r="A483" s="36" t="s">
        <v>4</v>
      </c>
      <c r="B483" s="36">
        <v>2036</v>
      </c>
      <c r="C483" s="36">
        <v>0.260073363333145</v>
      </c>
      <c r="D483" s="36">
        <v>0.259591134145426</v>
      </c>
      <c r="E483" s="36">
        <v>0.259550916974918</v>
      </c>
    </row>
    <row r="484" spans="1:5">
      <c r="A484" s="36" t="s">
        <v>4</v>
      </c>
      <c r="B484" s="36">
        <v>2037</v>
      </c>
      <c r="C484" s="36">
        <v>0.259694293982686</v>
      </c>
      <c r="D484" s="36">
        <v>0.259023333719522</v>
      </c>
      <c r="E484" s="36">
        <v>0.259256513346355</v>
      </c>
    </row>
    <row r="485" spans="1:5">
      <c r="A485" s="36" t="s">
        <v>4</v>
      </c>
      <c r="B485" s="36">
        <v>2038</v>
      </c>
      <c r="C485" s="36">
        <v>0.259341826724213</v>
      </c>
      <c r="D485" s="36">
        <v>0.258468676573923</v>
      </c>
      <c r="E485" s="36">
        <v>0.258973333860107</v>
      </c>
    </row>
    <row r="486" spans="1:5">
      <c r="A486" s="36" t="s">
        <v>4</v>
      </c>
      <c r="B486" s="36">
        <v>2039</v>
      </c>
      <c r="C486" s="36">
        <v>0.259024857296942</v>
      </c>
      <c r="D486" s="36">
        <v>0.257950821676193</v>
      </c>
      <c r="E486" s="36">
        <v>0.258702585956479</v>
      </c>
    </row>
    <row r="487" spans="1:5">
      <c r="A487" s="36" t="s">
        <v>4</v>
      </c>
      <c r="B487" s="36">
        <v>2040</v>
      </c>
      <c r="C487" s="36">
        <v>0.25875246977726</v>
      </c>
      <c r="D487" s="36">
        <v>0.257494825014244</v>
      </c>
      <c r="E487" s="36">
        <v>0.258445475847354</v>
      </c>
    </row>
    <row r="488" spans="1:5">
      <c r="A488" s="36" t="s">
        <v>4</v>
      </c>
      <c r="B488" s="36">
        <v>2041</v>
      </c>
      <c r="C488" s="36">
        <v>0.258113843158926</v>
      </c>
      <c r="D488" s="36">
        <v>0.256854542739254</v>
      </c>
      <c r="E488" s="36">
        <v>0.257940518451786</v>
      </c>
    </row>
    <row r="489" spans="1:5">
      <c r="A489" s="36" t="s">
        <v>4</v>
      </c>
      <c r="B489" s="36">
        <v>2042</v>
      </c>
      <c r="C489" s="36">
        <v>0.257501736371954</v>
      </c>
      <c r="D489" s="36">
        <v>0.256274833756189</v>
      </c>
      <c r="E489" s="36">
        <v>0.25744260108111</v>
      </c>
    </row>
    <row r="490" spans="1:5">
      <c r="A490" s="36" t="s">
        <v>4</v>
      </c>
      <c r="B490" s="36">
        <v>2043</v>
      </c>
      <c r="C490" s="36">
        <v>0.256907008723632</v>
      </c>
      <c r="D490" s="36">
        <v>0.255739270973834</v>
      </c>
      <c r="E490" s="36">
        <v>0.256955040912407</v>
      </c>
    </row>
    <row r="491" spans="1:5">
      <c r="A491" s="36" t="s">
        <v>4</v>
      </c>
      <c r="B491" s="36">
        <v>2044</v>
      </c>
      <c r="C491" s="36">
        <v>0.256319433677388</v>
      </c>
      <c r="D491" s="36">
        <v>0.255229704821371</v>
      </c>
      <c r="E491" s="36">
        <v>0.256481261645988</v>
      </c>
    </row>
    <row r="492" spans="1:5">
      <c r="A492" s="36" t="s">
        <v>4</v>
      </c>
      <c r="B492" s="36">
        <v>2045</v>
      </c>
      <c r="C492" s="36">
        <v>0.255727831713709</v>
      </c>
      <c r="D492" s="36">
        <v>0.254726601592494</v>
      </c>
      <c r="E492" s="36">
        <v>0.256024769899651</v>
      </c>
    </row>
    <row r="493" spans="1:5">
      <c r="A493" s="36" t="s">
        <v>4</v>
      </c>
      <c r="B493" s="36">
        <v>2046</v>
      </c>
      <c r="C493" s="36">
        <v>0.255107027804469</v>
      </c>
      <c r="D493" s="36">
        <v>0.254191076526504</v>
      </c>
      <c r="E493" s="36">
        <v>0.255572337975728</v>
      </c>
    </row>
    <row r="494" spans="1:5">
      <c r="A494" s="36" t="s">
        <v>4</v>
      </c>
      <c r="B494" s="36">
        <v>2047</v>
      </c>
      <c r="C494" s="36">
        <v>0.254477029713124</v>
      </c>
      <c r="D494" s="36">
        <v>0.253646762825939</v>
      </c>
      <c r="E494" s="36">
        <v>0.255129297578793</v>
      </c>
    </row>
    <row r="495" spans="1:5">
      <c r="A495" s="36" t="s">
        <v>4</v>
      </c>
      <c r="B495" s="36">
        <v>2048</v>
      </c>
      <c r="C495" s="36">
        <v>0.253845776695738</v>
      </c>
      <c r="D495" s="36">
        <v>0.253100125634666</v>
      </c>
      <c r="E495" s="36">
        <v>0.254684132670775</v>
      </c>
    </row>
    <row r="496" spans="1:5">
      <c r="A496" s="36" t="s">
        <v>4</v>
      </c>
      <c r="B496" s="36">
        <v>2049</v>
      </c>
      <c r="C496" s="36">
        <v>0.253221667953128</v>
      </c>
      <c r="D496" s="36">
        <v>0.252557940647298</v>
      </c>
      <c r="E496" s="36">
        <v>0.254224756118737</v>
      </c>
    </row>
    <row r="497" spans="1:5">
      <c r="A497" s="36" t="s">
        <v>4</v>
      </c>
      <c r="B497" s="36">
        <v>2050</v>
      </c>
      <c r="C497" s="36">
        <v>0.252613495640707</v>
      </c>
      <c r="D497" s="36">
        <v>0.252027255356974</v>
      </c>
      <c r="E497" s="36">
        <v>0.253738534379218</v>
      </c>
    </row>
    <row r="498" spans="1:5">
      <c r="A498" s="36" t="s">
        <v>4</v>
      </c>
      <c r="B498" s="36">
        <v>2051</v>
      </c>
      <c r="C498" s="36">
        <v>0.251700400199554</v>
      </c>
      <c r="D498" s="36">
        <v>0.251128358793148</v>
      </c>
      <c r="E498" s="36">
        <v>0.252892446862694</v>
      </c>
    </row>
    <row r="499" spans="1:5">
      <c r="A499" s="36" t="s">
        <v>4</v>
      </c>
      <c r="B499" s="36">
        <v>2052</v>
      </c>
      <c r="C499" s="36">
        <v>0.250796360463145</v>
      </c>
      <c r="D499" s="36">
        <v>0.250235839137641</v>
      </c>
      <c r="E499" s="36">
        <v>0.252017265775914</v>
      </c>
    </row>
    <row r="500" spans="1:5">
      <c r="A500" s="36" t="s">
        <v>4</v>
      </c>
      <c r="B500" s="36">
        <v>2053</v>
      </c>
      <c r="C500" s="36">
        <v>0.249895879575248</v>
      </c>
      <c r="D500" s="36">
        <v>0.249348942666541</v>
      </c>
      <c r="E500" s="36">
        <v>0.251136818917545</v>
      </c>
    </row>
    <row r="501" spans="1:5">
      <c r="A501" s="36" t="s">
        <v>4</v>
      </c>
      <c r="B501" s="36">
        <v>2054</v>
      </c>
      <c r="C501" s="36">
        <v>0.24899294126088</v>
      </c>
      <c r="D501" s="36">
        <v>0.248466688898041</v>
      </c>
      <c r="E501" s="36">
        <v>0.25027647237903</v>
      </c>
    </row>
    <row r="502" spans="1:5">
      <c r="A502" s="36" t="s">
        <v>4</v>
      </c>
      <c r="B502" s="36">
        <v>2055</v>
      </c>
      <c r="C502" s="36">
        <v>0.248081114328196</v>
      </c>
      <c r="D502" s="36">
        <v>0.24758790081986</v>
      </c>
      <c r="E502" s="36">
        <v>0.249462760736684</v>
      </c>
    </row>
    <row r="503" spans="1:5">
      <c r="A503" s="36" t="s">
        <v>4</v>
      </c>
      <c r="B503" s="36">
        <v>2056</v>
      </c>
      <c r="C503" s="36">
        <v>0.247155294382583</v>
      </c>
      <c r="D503" s="36">
        <v>0.246710127452503</v>
      </c>
      <c r="E503" s="36">
        <v>0.248710272923062</v>
      </c>
    </row>
    <row r="504" spans="1:5">
      <c r="A504" s="36" t="s">
        <v>4</v>
      </c>
      <c r="B504" s="36">
        <v>2057</v>
      </c>
      <c r="C504" s="36">
        <v>0.246216829684169</v>
      </c>
      <c r="D504" s="36">
        <v>0.245826291660013</v>
      </c>
      <c r="E504" s="36">
        <v>0.247982379830379</v>
      </c>
    </row>
    <row r="505" spans="1:5">
      <c r="A505" s="36" t="s">
        <v>4</v>
      </c>
      <c r="B505" s="36">
        <v>2058</v>
      </c>
      <c r="C505" s="36">
        <v>0.245268825520451</v>
      </c>
      <c r="D505" s="36">
        <v>0.244927981560634</v>
      </c>
      <c r="E505" s="36">
        <v>0.247227966318184</v>
      </c>
    </row>
    <row r="506" spans="1:5">
      <c r="A506" s="36" t="s">
        <v>4</v>
      </c>
      <c r="B506" s="36">
        <v>2059</v>
      </c>
      <c r="C506" s="36">
        <v>0.244314504680462</v>
      </c>
      <c r="D506" s="36">
        <v>0.244006659548861</v>
      </c>
      <c r="E506" s="36">
        <v>0.246394373452007</v>
      </c>
    </row>
    <row r="507" spans="1:5">
      <c r="A507" s="36" t="s">
        <v>4</v>
      </c>
      <c r="B507" s="36">
        <v>2060</v>
      </c>
      <c r="C507" s="36">
        <v>0.243357172343265</v>
      </c>
      <c r="D507" s="36">
        <v>0.243053789601626</v>
      </c>
      <c r="E507" s="36">
        <v>0.245427760027026</v>
      </c>
    </row>
    <row r="508" spans="1:5">
      <c r="A508" s="36" t="s">
        <v>4</v>
      </c>
      <c r="B508" s="36">
        <v>2061</v>
      </c>
      <c r="C508" s="36">
        <v>0.242399468585095</v>
      </c>
      <c r="D508" s="36">
        <v>0.242066748483176</v>
      </c>
      <c r="E508" s="36">
        <v>0.244294568853844</v>
      </c>
    </row>
    <row r="509" spans="1:5">
      <c r="A509" s="36" t="s">
        <v>4</v>
      </c>
      <c r="B509" s="36">
        <v>2062</v>
      </c>
      <c r="C509" s="36">
        <v>0.241441199906126</v>
      </c>
      <c r="D509" s="36">
        <v>0.241066264074835</v>
      </c>
      <c r="E509" s="36">
        <v>0.243046127935084</v>
      </c>
    </row>
    <row r="510" spans="1:5">
      <c r="A510" s="36" t="s">
        <v>4</v>
      </c>
      <c r="B510" s="36">
        <v>2063</v>
      </c>
      <c r="C510" s="36">
        <v>0.240481462307159</v>
      </c>
      <c r="D510" s="36">
        <v>0.240078959901183</v>
      </c>
      <c r="E510" s="36">
        <v>0.241757226995126</v>
      </c>
    </row>
    <row r="511" spans="1:5">
      <c r="A511" s="36" t="s">
        <v>4</v>
      </c>
      <c r="B511" s="36">
        <v>2064</v>
      </c>
      <c r="C511" s="36">
        <v>0.239519377004169</v>
      </c>
      <c r="D511" s="36">
        <v>0.239131181413323</v>
      </c>
      <c r="E511" s="36">
        <v>0.240503922881861</v>
      </c>
    </row>
    <row r="512" spans="1:5">
      <c r="A512" s="36" t="s">
        <v>4</v>
      </c>
      <c r="B512" s="36">
        <v>2065</v>
      </c>
      <c r="C512" s="36">
        <v>0.238554119260938</v>
      </c>
      <c r="D512" s="36">
        <v>0.238248615596998</v>
      </c>
      <c r="E512" s="36">
        <v>0.239361592285106</v>
      </c>
    </row>
    <row r="513" spans="1:5">
      <c r="A513" s="36" t="s">
        <v>4</v>
      </c>
      <c r="B513" s="36">
        <v>2066</v>
      </c>
      <c r="C513" s="36">
        <v>0.237587835880699</v>
      </c>
      <c r="D513" s="36">
        <v>0.237449393575813</v>
      </c>
      <c r="E513" s="36">
        <v>0.238383890062026</v>
      </c>
    </row>
    <row r="514" spans="1:5">
      <c r="A514" s="36" t="s">
        <v>4</v>
      </c>
      <c r="B514" s="36">
        <v>2067</v>
      </c>
      <c r="C514" s="36">
        <v>0.236634149893248</v>
      </c>
      <c r="D514" s="36">
        <v>0.236724414127927</v>
      </c>
      <c r="E514" s="36">
        <v>0.237544705154856</v>
      </c>
    </row>
    <row r="515" spans="1:5">
      <c r="A515" s="36" t="s">
        <v>4</v>
      </c>
      <c r="B515" s="36">
        <v>2068</v>
      </c>
      <c r="C515" s="36">
        <v>0.235709073643423</v>
      </c>
      <c r="D515" s="36">
        <v>0.236057911635342</v>
      </c>
      <c r="E515" s="36">
        <v>0.236798421944221</v>
      </c>
    </row>
    <row r="516" spans="1:5">
      <c r="A516" s="36" t="s">
        <v>4</v>
      </c>
      <c r="B516" s="36">
        <v>2069</v>
      </c>
      <c r="C516" s="36">
        <v>0.234827882139058</v>
      </c>
      <c r="D516" s="36">
        <v>0.235434308020733</v>
      </c>
      <c r="E516" s="36">
        <v>0.236100085320688</v>
      </c>
    </row>
    <row r="517" spans="1:5">
      <c r="A517" s="36" t="s">
        <v>4</v>
      </c>
      <c r="B517" s="36">
        <v>2070</v>
      </c>
      <c r="C517" s="36">
        <v>0.234004974251892</v>
      </c>
      <c r="D517" s="36">
        <v>0.234838305192866</v>
      </c>
      <c r="E517" s="36">
        <v>0.235405710909598</v>
      </c>
    </row>
    <row r="518" spans="1:5">
      <c r="A518" s="36" t="s">
        <v>4</v>
      </c>
      <c r="B518" s="36">
        <v>2071</v>
      </c>
      <c r="C518" s="36">
        <v>0.233247720296988</v>
      </c>
      <c r="D518" s="36">
        <v>0.234255019537439</v>
      </c>
      <c r="E518" s="36">
        <v>0.234679839136326</v>
      </c>
    </row>
    <row r="519" spans="1:5">
      <c r="A519" s="36" t="s">
        <v>4</v>
      </c>
      <c r="B519" s="36">
        <v>2072</v>
      </c>
      <c r="C519" s="36">
        <v>0.232538769464997</v>
      </c>
      <c r="D519" s="36">
        <v>0.233670240535239</v>
      </c>
      <c r="E519" s="36">
        <v>0.233917115445219</v>
      </c>
    </row>
    <row r="520" spans="1:5">
      <c r="A520" s="36" t="s">
        <v>4</v>
      </c>
      <c r="B520" s="36">
        <v>2073</v>
      </c>
      <c r="C520" s="36">
        <v>0.231855424283179</v>
      </c>
      <c r="D520" s="36">
        <v>0.233070309182987</v>
      </c>
      <c r="E520" s="36">
        <v>0.233119828852415</v>
      </c>
    </row>
    <row r="521" spans="1:5">
      <c r="A521" s="36" t="s">
        <v>4</v>
      </c>
      <c r="B521" s="36">
        <v>2074</v>
      </c>
      <c r="C521" s="36">
        <v>0.231175983140436</v>
      </c>
      <c r="D521" s="36">
        <v>0.232442160448255</v>
      </c>
      <c r="E521" s="36">
        <v>0.23229056069939</v>
      </c>
    </row>
    <row r="522" spans="1:5">
      <c r="A522" s="36" t="s">
        <v>4</v>
      </c>
      <c r="B522" s="36">
        <v>2075</v>
      </c>
      <c r="C522" s="36">
        <v>0.230479883481253</v>
      </c>
      <c r="D522" s="36">
        <v>0.231773472120029</v>
      </c>
      <c r="E522" s="36">
        <v>0.231432190273938</v>
      </c>
    </row>
    <row r="523" spans="1:5">
      <c r="A523" s="36" t="s">
        <v>4</v>
      </c>
      <c r="B523" s="36">
        <v>2076</v>
      </c>
      <c r="C523" s="36">
        <v>0.229755816205477</v>
      </c>
      <c r="D523" s="36">
        <v>0.231058961630665</v>
      </c>
      <c r="E523" s="36">
        <v>0.230552822607361</v>
      </c>
    </row>
    <row r="524" spans="1:5">
      <c r="A524" s="36" t="s">
        <v>4</v>
      </c>
      <c r="B524" s="36">
        <v>2077</v>
      </c>
      <c r="C524" s="36">
        <v>0.229024540889092</v>
      </c>
      <c r="D524" s="36">
        <v>0.230318131242124</v>
      </c>
      <c r="E524" s="36">
        <v>0.229679757807116</v>
      </c>
    </row>
    <row r="525" spans="1:5">
      <c r="A525" s="36" t="s">
        <v>4</v>
      </c>
      <c r="B525" s="36">
        <v>2078</v>
      </c>
      <c r="C525" s="36">
        <v>0.228313187560406</v>
      </c>
      <c r="D525" s="36">
        <v>0.229575572083522</v>
      </c>
      <c r="E525" s="36">
        <v>0.22884309789267</v>
      </c>
    </row>
    <row r="526" spans="1:5">
      <c r="A526" s="36" t="s">
        <v>4</v>
      </c>
      <c r="B526" s="36">
        <v>2079</v>
      </c>
      <c r="C526" s="36">
        <v>0.227646877258015</v>
      </c>
      <c r="D526" s="36">
        <v>0.228854393869243</v>
      </c>
      <c r="E526" s="36">
        <v>0.228070369118425</v>
      </c>
    </row>
    <row r="527" spans="1:5">
      <c r="A527" s="36" t="s">
        <v>4</v>
      </c>
      <c r="B527" s="36">
        <v>2080</v>
      </c>
      <c r="C527" s="36">
        <v>0.22704871099804</v>
      </c>
      <c r="D527" s="36">
        <v>0.22817604023674</v>
      </c>
      <c r="E527" s="36">
        <v>0.227386550376541</v>
      </c>
    </row>
    <row r="528" spans="1:5">
      <c r="A528" s="36" t="s">
        <v>4</v>
      </c>
      <c r="B528" s="36">
        <v>2081</v>
      </c>
      <c r="C528" s="36">
        <v>0.226532341390966</v>
      </c>
      <c r="D528" s="36">
        <v>0.227555181524254</v>
      </c>
      <c r="E528" s="36">
        <v>0.226805559033788</v>
      </c>
    </row>
    <row r="529" spans="1:5">
      <c r="A529" s="36" t="s">
        <v>4</v>
      </c>
      <c r="B529" s="36">
        <v>2082</v>
      </c>
      <c r="C529" s="36">
        <v>0.226080355298546</v>
      </c>
      <c r="D529" s="36">
        <v>0.226985317679528</v>
      </c>
      <c r="E529" s="36">
        <v>0.226305420519991</v>
      </c>
    </row>
    <row r="530" spans="1:5">
      <c r="A530" s="36" t="s">
        <v>4</v>
      </c>
      <c r="B530" s="36">
        <v>2083</v>
      </c>
      <c r="C530" s="36">
        <v>0.22566904294532</v>
      </c>
      <c r="D530" s="36">
        <v>0.226455374059033</v>
      </c>
      <c r="E530" s="36">
        <v>0.225857136874559</v>
      </c>
    </row>
    <row r="531" spans="1:5">
      <c r="A531" s="36" t="s">
        <v>4</v>
      </c>
      <c r="B531" s="36">
        <v>2084</v>
      </c>
      <c r="C531" s="36">
        <v>0.225276081675729</v>
      </c>
      <c r="D531" s="36">
        <v>0.225954937422976</v>
      </c>
      <c r="E531" s="36">
        <v>0.225433539037755</v>
      </c>
    </row>
    <row r="532" spans="1:5">
      <c r="A532" s="36" t="s">
        <v>4</v>
      </c>
      <c r="B532" s="36">
        <v>2085</v>
      </c>
      <c r="C532" s="36">
        <v>0.224880404254272</v>
      </c>
      <c r="D532" s="36">
        <v>0.225474223395436</v>
      </c>
      <c r="E532" s="36">
        <v>0.225009078833421</v>
      </c>
    </row>
    <row r="533" spans="1:5">
      <c r="A533" s="36" t="s">
        <v>4</v>
      </c>
      <c r="B533" s="36">
        <v>2086</v>
      </c>
      <c r="C533" s="36">
        <v>0.22446804487203</v>
      </c>
      <c r="D533" s="36">
        <v>0.225004565243678</v>
      </c>
      <c r="E533" s="36">
        <v>0.224564888761986</v>
      </c>
    </row>
    <row r="534" spans="1:5">
      <c r="A534" s="36" t="s">
        <v>4</v>
      </c>
      <c r="B534" s="36">
        <v>2087</v>
      </c>
      <c r="C534" s="36">
        <v>0.224048954215604</v>
      </c>
      <c r="D534" s="36">
        <v>0.224539862297947</v>
      </c>
      <c r="E534" s="36">
        <v>0.224103392543066</v>
      </c>
    </row>
    <row r="535" spans="1:5">
      <c r="A535" s="36" t="s">
        <v>4</v>
      </c>
      <c r="B535" s="36">
        <v>2088</v>
      </c>
      <c r="C535" s="36">
        <v>0.223638128364263</v>
      </c>
      <c r="D535" s="36">
        <v>0.224074941912633</v>
      </c>
      <c r="E535" s="36">
        <v>0.223631895456651</v>
      </c>
    </row>
    <row r="536" spans="1:5">
      <c r="A536" s="36" t="s">
        <v>4</v>
      </c>
      <c r="B536" s="36">
        <v>2089</v>
      </c>
      <c r="C536" s="36">
        <v>0.223249535670535</v>
      </c>
      <c r="D536" s="36">
        <v>0.223605055329764</v>
      </c>
      <c r="E536" s="36">
        <v>0.223157282348967</v>
      </c>
    </row>
    <row r="537" spans="1:5">
      <c r="A537" s="36" t="s">
        <v>4</v>
      </c>
      <c r="B537" s="36">
        <v>2090</v>
      </c>
      <c r="C537" s="36">
        <v>0.222896157774225</v>
      </c>
      <c r="D537" s="36">
        <v>0.223125909025166</v>
      </c>
      <c r="E537" s="36">
        <v>0.222685966129474</v>
      </c>
    </row>
    <row r="538" spans="1:5">
      <c r="A538" s="36" t="s">
        <v>4</v>
      </c>
      <c r="B538" s="36">
        <v>2091</v>
      </c>
      <c r="C538" s="36">
        <v>0.222586075481584</v>
      </c>
      <c r="D538" s="36">
        <v>0.222636077077344</v>
      </c>
      <c r="E538" s="36">
        <v>0.222222538232815</v>
      </c>
    </row>
    <row r="539" spans="1:5">
      <c r="A539" s="36" t="s">
        <v>4</v>
      </c>
      <c r="B539" s="36">
        <v>2092</v>
      </c>
      <c r="C539" s="36">
        <v>0.222310966718432</v>
      </c>
      <c r="D539" s="36">
        <v>0.222143692408238</v>
      </c>
      <c r="E539" s="36">
        <v>0.22176605305337</v>
      </c>
    </row>
    <row r="540" spans="1:5">
      <c r="A540" s="36" t="s">
        <v>4</v>
      </c>
      <c r="B540" s="36">
        <v>2093</v>
      </c>
      <c r="C540" s="36">
        <v>0.222059088952209</v>
      </c>
      <c r="D540" s="36">
        <v>0.22165850289098</v>
      </c>
      <c r="E540" s="36">
        <v>0.221314406752961</v>
      </c>
    </row>
    <row r="541" spans="1:5">
      <c r="A541" s="36" t="s">
        <v>4</v>
      </c>
      <c r="B541" s="36">
        <v>2094</v>
      </c>
      <c r="C541" s="36">
        <v>0.221819330497836</v>
      </c>
      <c r="D541" s="36">
        <v>0.22118934172858</v>
      </c>
      <c r="E541" s="36">
        <v>0.220865719354294</v>
      </c>
    </row>
    <row r="542" spans="1:5">
      <c r="A542" s="36" t="s">
        <v>4</v>
      </c>
      <c r="B542" s="36">
        <v>2095</v>
      </c>
      <c r="C542" s="36">
        <v>0.221581133647716</v>
      </c>
      <c r="D542" s="36">
        <v>0.220744128419265</v>
      </c>
      <c r="E542" s="36">
        <v>0.220418340741457</v>
      </c>
    </row>
    <row r="543" spans="1:5">
      <c r="A543" s="36" t="s">
        <v>4</v>
      </c>
      <c r="B543" s="36">
        <v>2096</v>
      </c>
      <c r="C543" s="36">
        <v>0.22133447362831</v>
      </c>
      <c r="D543" s="36">
        <v>0.220329917825022</v>
      </c>
      <c r="E543" s="36">
        <v>0.219970857691325</v>
      </c>
    </row>
    <row r="544" spans="1:5">
      <c r="A544" s="36" t="s">
        <v>4</v>
      </c>
      <c r="B544" s="36">
        <v>2097</v>
      </c>
      <c r="C544" s="36">
        <v>0.221069893385762</v>
      </c>
      <c r="D544" s="36">
        <v>0.21995299451792</v>
      </c>
      <c r="E544" s="36">
        <v>0.219522101637597</v>
      </c>
    </row>
    <row r="545" spans="1:5">
      <c r="A545" s="36" t="s">
        <v>4</v>
      </c>
      <c r="B545" s="36">
        <v>2098</v>
      </c>
      <c r="C545" s="36">
        <v>0.220778593397062</v>
      </c>
      <c r="D545" s="36">
        <v>0.219619008412197</v>
      </c>
      <c r="E545" s="36">
        <v>0.21907115676222</v>
      </c>
    </row>
    <row r="546" spans="1:5">
      <c r="A546" s="36" t="s">
        <v>4</v>
      </c>
      <c r="B546" s="36">
        <v>2099</v>
      </c>
      <c r="C546" s="36">
        <v>0.220452574708383</v>
      </c>
      <c r="D546" s="36">
        <v>0.219333147358003</v>
      </c>
      <c r="E546" s="36">
        <v>0.218617367905807</v>
      </c>
    </row>
    <row r="547" spans="1:5">
      <c r="A547" s="36" t="s">
        <v>4</v>
      </c>
      <c r="B547" s="36">
        <v>2100</v>
      </c>
      <c r="C547" s="36">
        <v>0.22008483190961</v>
      </c>
      <c r="D547" s="36">
        <v>0.219100342921971</v>
      </c>
      <c r="E547" s="36">
        <v>0.218160347691259</v>
      </c>
    </row>
    <row r="548" spans="1:5">
      <c r="A548" s="36" t="s">
        <v>17</v>
      </c>
      <c r="B548" s="36">
        <v>2023</v>
      </c>
      <c r="C548" s="36">
        <v>0.323025146984486</v>
      </c>
      <c r="D548" s="36">
        <v>0.323219266645383</v>
      </c>
      <c r="E548" s="36">
        <v>0.323626372165674</v>
      </c>
    </row>
    <row r="549" spans="1:5">
      <c r="A549" s="36" t="s">
        <v>17</v>
      </c>
      <c r="B549" s="36">
        <v>2024</v>
      </c>
      <c r="C549" s="36">
        <v>0.323975475298828</v>
      </c>
      <c r="D549" s="36">
        <v>0.324175797219816</v>
      </c>
      <c r="E549" s="36">
        <v>0.324536587131183</v>
      </c>
    </row>
    <row r="550" spans="1:5">
      <c r="A550" s="36" t="s">
        <v>17</v>
      </c>
      <c r="B550" s="36">
        <v>2025</v>
      </c>
      <c r="C550" s="36">
        <v>0.324967529498211</v>
      </c>
      <c r="D550" s="36">
        <v>0.325173759556353</v>
      </c>
      <c r="E550" s="36">
        <v>0.325487508534307</v>
      </c>
    </row>
    <row r="551" spans="1:5">
      <c r="A551" s="36" t="s">
        <v>17</v>
      </c>
      <c r="B551" s="36">
        <v>2026</v>
      </c>
      <c r="C551" s="36">
        <v>0.325848800254563</v>
      </c>
      <c r="D551" s="36">
        <v>0.326243324466187</v>
      </c>
      <c r="E551" s="36">
        <v>0.32651855856992</v>
      </c>
    </row>
    <row r="552" spans="1:5">
      <c r="A552" s="36" t="s">
        <v>17</v>
      </c>
      <c r="B552" s="36">
        <v>2027</v>
      </c>
      <c r="C552" s="36">
        <v>0.32673195991682</v>
      </c>
      <c r="D552" s="36">
        <v>0.32735898757808</v>
      </c>
      <c r="E552" s="36">
        <v>0.327596463397516</v>
      </c>
    </row>
    <row r="553" spans="1:5">
      <c r="A553" s="36" t="s">
        <v>17</v>
      </c>
      <c r="B553" s="36">
        <v>2028</v>
      </c>
      <c r="C553" s="36">
        <v>0.327603261437481</v>
      </c>
      <c r="D553" s="36">
        <v>0.328515342602868</v>
      </c>
      <c r="E553" s="36">
        <v>0.328715199158782</v>
      </c>
    </row>
    <row r="554" spans="1:5">
      <c r="A554" s="36" t="s">
        <v>17</v>
      </c>
      <c r="B554" s="36">
        <v>2029</v>
      </c>
      <c r="C554" s="36">
        <v>0.328446956627761</v>
      </c>
      <c r="D554" s="36">
        <v>0.329706145831318</v>
      </c>
      <c r="E554" s="36">
        <v>0.329867862137626</v>
      </c>
    </row>
    <row r="555" spans="1:5">
      <c r="A555" s="36" t="s">
        <v>17</v>
      </c>
      <c r="B555" s="36">
        <v>2030</v>
      </c>
      <c r="C555" s="36">
        <v>0.330724977362666</v>
      </c>
      <c r="D555" s="36">
        <v>0.33092428819538</v>
      </c>
      <c r="E555" s="36">
        <v>0.331046635906054</v>
      </c>
    </row>
    <row r="556" spans="1:5">
      <c r="A556" s="36" t="s">
        <v>17</v>
      </c>
      <c r="B556" s="36">
        <v>2031</v>
      </c>
      <c r="C556" s="36">
        <v>0.331975411693214</v>
      </c>
      <c r="D556" s="36">
        <v>0.332170758764458</v>
      </c>
      <c r="E556" s="36">
        <v>0.332254724028412</v>
      </c>
    </row>
    <row r="557" spans="1:5">
      <c r="A557" s="36" t="s">
        <v>17</v>
      </c>
      <c r="B557" s="36">
        <v>2032</v>
      </c>
      <c r="C557" s="36">
        <v>0.333247110381634</v>
      </c>
      <c r="D557" s="36">
        <v>0.333438409493531</v>
      </c>
      <c r="E557" s="36">
        <v>0.333482022821466</v>
      </c>
    </row>
    <row r="558" spans="1:5">
      <c r="A558" s="36" t="s">
        <v>17</v>
      </c>
      <c r="B558" s="36">
        <v>2033</v>
      </c>
      <c r="C558" s="36">
        <v>0.334541885284498</v>
      </c>
      <c r="D558" s="36">
        <v>0.334728616452856</v>
      </c>
      <c r="E558" s="36">
        <v>0.334729651201205</v>
      </c>
    </row>
    <row r="559" spans="1:5">
      <c r="A559" s="36" t="s">
        <v>17</v>
      </c>
      <c r="B559" s="36">
        <v>2034</v>
      </c>
      <c r="C559" s="36">
        <v>0.335861773185328</v>
      </c>
      <c r="D559" s="36">
        <v>0.33604293228569</v>
      </c>
      <c r="E559" s="36">
        <v>0.335998875865593</v>
      </c>
    </row>
    <row r="560" spans="1:5">
      <c r="A560" s="36" t="s">
        <v>17</v>
      </c>
      <c r="B560" s="36">
        <v>2035</v>
      </c>
      <c r="C560" s="36">
        <v>0.33720900999875</v>
      </c>
      <c r="D560" s="36">
        <v>0.337383082496137</v>
      </c>
      <c r="E560" s="36">
        <v>0.337291108375781</v>
      </c>
    </row>
    <row r="561" spans="1:5">
      <c r="A561" s="36" t="s">
        <v>17</v>
      </c>
      <c r="B561" s="36">
        <v>2036</v>
      </c>
      <c r="C561" s="36">
        <v>0.338586619118575</v>
      </c>
      <c r="D561" s="36">
        <v>0.33875139851358</v>
      </c>
      <c r="E561" s="36">
        <v>0.338609290238914</v>
      </c>
    </row>
    <row r="562" spans="1:5">
      <c r="A562" s="36" t="s">
        <v>17</v>
      </c>
      <c r="B562" s="36">
        <v>2037</v>
      </c>
      <c r="C562" s="36">
        <v>0.339994563588739</v>
      </c>
      <c r="D562" s="36">
        <v>0.340147945655252</v>
      </c>
      <c r="E562" s="36">
        <v>0.339955538368804</v>
      </c>
    </row>
    <row r="563" spans="1:5">
      <c r="A563" s="36" t="s">
        <v>17</v>
      </c>
      <c r="B563" s="36">
        <v>2038</v>
      </c>
      <c r="C563" s="36">
        <v>0.341433301990737</v>
      </c>
      <c r="D563" s="36">
        <v>0.341573214438954</v>
      </c>
      <c r="E563" s="36">
        <v>0.341333553374946</v>
      </c>
    </row>
    <row r="564" spans="1:5">
      <c r="A564" s="36" t="s">
        <v>17</v>
      </c>
      <c r="B564" s="36">
        <v>2039</v>
      </c>
      <c r="C564" s="36">
        <v>0.342903292152532</v>
      </c>
      <c r="D564" s="36">
        <v>0.343027709662759</v>
      </c>
      <c r="E564" s="36">
        <v>0.342747301864371</v>
      </c>
    </row>
    <row r="565" spans="1:5">
      <c r="A565" s="36" t="s">
        <v>17</v>
      </c>
      <c r="B565" s="36">
        <v>2040</v>
      </c>
      <c r="C565" s="36">
        <v>0.344404957158309</v>
      </c>
      <c r="D565" s="36">
        <v>0.34451194612798</v>
      </c>
      <c r="E565" s="36">
        <v>0.344201004381544</v>
      </c>
    </row>
    <row r="566" spans="1:5">
      <c r="A566" s="36" t="s">
        <v>17</v>
      </c>
      <c r="B566" s="36">
        <v>2041</v>
      </c>
      <c r="C566" s="36">
        <v>0.345950704820845</v>
      </c>
      <c r="D566" s="36">
        <v>0.346033520426177</v>
      </c>
      <c r="E566" s="36">
        <v>0.345707866568903</v>
      </c>
    </row>
    <row r="567" spans="1:5">
      <c r="A567" s="36" t="s">
        <v>17</v>
      </c>
      <c r="B567" s="36">
        <v>2042</v>
      </c>
      <c r="C567" s="36">
        <v>0.347528378375527</v>
      </c>
      <c r="D567" s="36">
        <v>0.347583623678329</v>
      </c>
      <c r="E567" s="36">
        <v>0.347255187934151</v>
      </c>
    </row>
    <row r="568" spans="1:5">
      <c r="A568" s="36" t="s">
        <v>17</v>
      </c>
      <c r="B568" s="36">
        <v>2043</v>
      </c>
      <c r="C568" s="36">
        <v>0.349137034191532</v>
      </c>
      <c r="D568" s="36">
        <v>0.349159972520187</v>
      </c>
      <c r="E568" s="36">
        <v>0.348838080838633</v>
      </c>
    </row>
    <row r="569" spans="1:5">
      <c r="A569" s="36" t="s">
        <v>17</v>
      </c>
      <c r="B569" s="36">
        <v>2044</v>
      </c>
      <c r="C569" s="36">
        <v>0.350775613151907</v>
      </c>
      <c r="D569" s="36">
        <v>0.350760098757833</v>
      </c>
      <c r="E569" s="36">
        <v>0.350451210973758</v>
      </c>
    </row>
    <row r="570" spans="1:5">
      <c r="A570" s="36" t="s">
        <v>17</v>
      </c>
      <c r="B570" s="36">
        <v>2045</v>
      </c>
      <c r="C570" s="36">
        <v>0.35244292215657</v>
      </c>
      <c r="D570" s="36">
        <v>0.352381359102663</v>
      </c>
      <c r="E570" s="36">
        <v>0.352088816997005</v>
      </c>
    </row>
    <row r="571" spans="1:5">
      <c r="A571" s="36" t="s">
        <v>17</v>
      </c>
      <c r="B571" s="36">
        <v>2046</v>
      </c>
      <c r="C571" s="36">
        <v>0.354137664959092</v>
      </c>
      <c r="D571" s="36">
        <v>0.354021642589676</v>
      </c>
      <c r="E571" s="36">
        <v>0.353746429996633</v>
      </c>
    </row>
    <row r="572" spans="1:5">
      <c r="A572" s="36" t="s">
        <v>17</v>
      </c>
      <c r="B572" s="36">
        <v>2047</v>
      </c>
      <c r="C572" s="36">
        <v>0.35585654330578</v>
      </c>
      <c r="D572" s="36">
        <v>0.355679509976331</v>
      </c>
      <c r="E572" s="36">
        <v>0.355422929433013</v>
      </c>
    </row>
    <row r="573" spans="1:5">
      <c r="A573" s="36" t="s">
        <v>17</v>
      </c>
      <c r="B573" s="36">
        <v>2048</v>
      </c>
      <c r="C573" s="36">
        <v>0.357596019018985</v>
      </c>
      <c r="D573" s="36">
        <v>0.357354174435639</v>
      </c>
      <c r="E573" s="36">
        <v>0.357118882790087</v>
      </c>
    </row>
    <row r="574" spans="1:5">
      <c r="A574" s="36" t="s">
        <v>17</v>
      </c>
      <c r="B574" s="36">
        <v>2049</v>
      </c>
      <c r="C574" s="36">
        <v>0.359352361920894</v>
      </c>
      <c r="D574" s="36">
        <v>0.359044830074771</v>
      </c>
      <c r="E574" s="36">
        <v>0.35883490138286</v>
      </c>
    </row>
    <row r="575" spans="1:5">
      <c r="A575" s="36" t="s">
        <v>17</v>
      </c>
      <c r="B575" s="36">
        <v>2050</v>
      </c>
      <c r="C575" s="36">
        <v>0.361121672435941</v>
      </c>
      <c r="D575" s="36">
        <v>0.36075065218633</v>
      </c>
      <c r="E575" s="36">
        <v>0.360571629764644</v>
      </c>
    </row>
    <row r="576" spans="1:5">
      <c r="A576" s="36" t="s">
        <v>17</v>
      </c>
      <c r="B576" s="36">
        <v>2051</v>
      </c>
      <c r="C576" s="36">
        <v>0.362910211873256</v>
      </c>
      <c r="D576" s="36">
        <v>0.362481721638987</v>
      </c>
      <c r="E576" s="36">
        <v>0.362341387581964</v>
      </c>
    </row>
    <row r="577" spans="1:5">
      <c r="A577" s="36" t="s">
        <v>17</v>
      </c>
      <c r="B577" s="36">
        <v>2052</v>
      </c>
      <c r="C577" s="36">
        <v>0.364707809179991</v>
      </c>
      <c r="D577" s="36">
        <v>0.364227167657989</v>
      </c>
      <c r="E577" s="36">
        <v>0.364127396458345</v>
      </c>
    </row>
    <row r="578" spans="1:5">
      <c r="A578" s="36" t="s">
        <v>17</v>
      </c>
      <c r="B578" s="36">
        <v>2053</v>
      </c>
      <c r="C578" s="36">
        <v>0.366514389778632</v>
      </c>
      <c r="D578" s="36">
        <v>0.365986768637534</v>
      </c>
      <c r="E578" s="36">
        <v>0.365923997724285</v>
      </c>
    </row>
    <row r="579" spans="1:5">
      <c r="A579" s="36" t="s">
        <v>17</v>
      </c>
      <c r="B579" s="36">
        <v>2054</v>
      </c>
      <c r="C579" s="36">
        <v>0.368329918049536</v>
      </c>
      <c r="D579" s="36">
        <v>0.367760300212918</v>
      </c>
      <c r="E579" s="36">
        <v>0.367725354142593</v>
      </c>
    </row>
    <row r="580" spans="1:5">
      <c r="A580" s="36" t="s">
        <v>17</v>
      </c>
      <c r="B580" s="36">
        <v>2055</v>
      </c>
      <c r="C580" s="36">
        <v>0.37015523049152</v>
      </c>
      <c r="D580" s="36">
        <v>0.369548361295665</v>
      </c>
      <c r="E580" s="36">
        <v>0.369526294799009</v>
      </c>
    </row>
    <row r="581" spans="1:5">
      <c r="A581" s="36" t="s">
        <v>17</v>
      </c>
      <c r="B581" s="36">
        <v>2056</v>
      </c>
      <c r="C581" s="36">
        <v>0.371988352360799</v>
      </c>
      <c r="D581" s="36">
        <v>0.371348495283818</v>
      </c>
      <c r="E581" s="36">
        <v>0.371321063937535</v>
      </c>
    </row>
    <row r="582" spans="1:5">
      <c r="A582" s="36" t="s">
        <v>17</v>
      </c>
      <c r="B582" s="36">
        <v>2057</v>
      </c>
      <c r="C582" s="36">
        <v>0.37382858106222</v>
      </c>
      <c r="D582" s="36">
        <v>0.373158489801962</v>
      </c>
      <c r="E582" s="36">
        <v>0.373112964936285</v>
      </c>
    </row>
    <row r="583" spans="1:5">
      <c r="A583" s="36" t="s">
        <v>17</v>
      </c>
      <c r="B583" s="36">
        <v>2058</v>
      </c>
      <c r="C583" s="36">
        <v>0.37567404479339</v>
      </c>
      <c r="D583" s="36">
        <v>0.374974684069926</v>
      </c>
      <c r="E583" s="36">
        <v>0.374906548373189</v>
      </c>
    </row>
    <row r="584" spans="1:5">
      <c r="A584" s="36" t="s">
        <v>17</v>
      </c>
      <c r="B584" s="36">
        <v>2059</v>
      </c>
      <c r="C584" s="36">
        <v>0.377522854057946</v>
      </c>
      <c r="D584" s="36">
        <v>0.376793362542905</v>
      </c>
      <c r="E584" s="36">
        <v>0.376706477830382</v>
      </c>
    </row>
    <row r="585" spans="1:5">
      <c r="A585" s="36" t="s">
        <v>17</v>
      </c>
      <c r="B585" s="36">
        <v>2060</v>
      </c>
      <c r="C585" s="36">
        <v>0.379373966604556</v>
      </c>
      <c r="D585" s="36">
        <v>0.378611628055334</v>
      </c>
      <c r="E585" s="36">
        <v>0.378517478455875</v>
      </c>
    </row>
    <row r="586" spans="1:5">
      <c r="A586" s="36" t="s">
        <v>17</v>
      </c>
      <c r="B586" s="36">
        <v>2061</v>
      </c>
      <c r="C586" s="36">
        <v>0.381224197168069</v>
      </c>
      <c r="D586" s="36">
        <v>0.380425550781214</v>
      </c>
      <c r="E586" s="36">
        <v>0.380343221382447</v>
      </c>
    </row>
    <row r="587" spans="1:5">
      <c r="A587" s="36" t="s">
        <v>17</v>
      </c>
      <c r="B587" s="36">
        <v>2062</v>
      </c>
      <c r="C587" s="36">
        <v>0.383073623236359</v>
      </c>
      <c r="D587" s="36">
        <v>0.382238805881211</v>
      </c>
      <c r="E587" s="36">
        <v>0.382183078735009</v>
      </c>
    </row>
    <row r="588" spans="1:5">
      <c r="A588" s="36" t="s">
        <v>17</v>
      </c>
      <c r="B588" s="36">
        <v>2063</v>
      </c>
      <c r="C588" s="36">
        <v>0.384921901056836</v>
      </c>
      <c r="D588" s="36">
        <v>0.38405575159277</v>
      </c>
      <c r="E588" s="36">
        <v>0.384035284330691</v>
      </c>
    </row>
    <row r="589" spans="1:5">
      <c r="A589" s="36" t="s">
        <v>17</v>
      </c>
      <c r="B589" s="36">
        <v>2064</v>
      </c>
      <c r="C589" s="36">
        <v>0.386768685874258</v>
      </c>
      <c r="D589" s="36">
        <v>0.385880715063537</v>
      </c>
      <c r="E589" s="36">
        <v>0.385897999329211</v>
      </c>
    </row>
    <row r="590" spans="1:5">
      <c r="A590" s="36" t="s">
        <v>17</v>
      </c>
      <c r="B590" s="36">
        <v>2065</v>
      </c>
      <c r="C590" s="36">
        <v>0.388613624918845</v>
      </c>
      <c r="D590" s="36">
        <v>0.387717941743583</v>
      </c>
      <c r="E590" s="36">
        <v>0.387769318391439</v>
      </c>
    </row>
    <row r="591" spans="1:5">
      <c r="A591" s="36" t="s">
        <v>17</v>
      </c>
      <c r="B591" s="36">
        <v>2066</v>
      </c>
      <c r="C591" s="36">
        <v>0.390455324722629</v>
      </c>
      <c r="D591" s="36">
        <v>0.389569473170161</v>
      </c>
      <c r="E591" s="36">
        <v>0.38964614533317</v>
      </c>
    </row>
    <row r="592" spans="1:5">
      <c r="A592" s="36" t="s">
        <v>17</v>
      </c>
      <c r="B592" s="36">
        <v>2067</v>
      </c>
      <c r="C592" s="36">
        <v>0.392288309583747</v>
      </c>
      <c r="D592" s="36">
        <v>0.391428961481702</v>
      </c>
      <c r="E592" s="36">
        <v>0.391520851113619</v>
      </c>
    </row>
    <row r="593" spans="1:5">
      <c r="A593" s="36" t="s">
        <v>17</v>
      </c>
      <c r="B593" s="36">
        <v>2068</v>
      </c>
      <c r="C593" s="36">
        <v>0.394106192534999</v>
      </c>
      <c r="D593" s="36">
        <v>0.393288022074677</v>
      </c>
      <c r="E593" s="36">
        <v>0.393384782846361</v>
      </c>
    </row>
    <row r="594" spans="1:5">
      <c r="A594" s="36" t="s">
        <v>17</v>
      </c>
      <c r="B594" s="36">
        <v>2069</v>
      </c>
      <c r="C594" s="36">
        <v>0.395902758091163</v>
      </c>
      <c r="D594" s="36">
        <v>0.395138389155716</v>
      </c>
      <c r="E594" s="36">
        <v>0.39522947662567</v>
      </c>
    </row>
    <row r="595" spans="1:5">
      <c r="A595" s="36" t="s">
        <v>17</v>
      </c>
      <c r="B595" s="36">
        <v>2070</v>
      </c>
      <c r="C595" s="36">
        <v>0.397672007648997</v>
      </c>
      <c r="D595" s="36">
        <v>0.396971985535986</v>
      </c>
      <c r="E595" s="36">
        <v>0.397046726903969</v>
      </c>
    </row>
    <row r="596" spans="1:5">
      <c r="A596" s="36" t="s">
        <v>17</v>
      </c>
      <c r="B596" s="36">
        <v>2071</v>
      </c>
      <c r="C596" s="36">
        <v>0.399409911150579</v>
      </c>
      <c r="D596" s="36">
        <v>0.398782550318935</v>
      </c>
      <c r="E596" s="36">
        <v>0.398831569493045</v>
      </c>
    </row>
    <row r="597" spans="1:5">
      <c r="A597" s="36" t="s">
        <v>17</v>
      </c>
      <c r="B597" s="36">
        <v>2072</v>
      </c>
      <c r="C597" s="36">
        <v>0.401119445821456</v>
      </c>
      <c r="D597" s="36">
        <v>0.400570264846026</v>
      </c>
      <c r="E597" s="36">
        <v>0.400590877220376</v>
      </c>
    </row>
    <row r="598" spans="1:5">
      <c r="A598" s="36" t="s">
        <v>17</v>
      </c>
      <c r="B598" s="36">
        <v>2073</v>
      </c>
      <c r="C598" s="36">
        <v>0.402805232776183</v>
      </c>
      <c r="D598" s="36">
        <v>0.402336877061453</v>
      </c>
      <c r="E598" s="36">
        <v>0.402334200244128</v>
      </c>
    </row>
    <row r="599" spans="1:5">
      <c r="A599" s="36" t="s">
        <v>17</v>
      </c>
      <c r="B599" s="36">
        <v>2074</v>
      </c>
      <c r="C599" s="36">
        <v>0.404471755581294</v>
      </c>
      <c r="D599" s="36">
        <v>0.404084090319448</v>
      </c>
      <c r="E599" s="36">
        <v>0.404070711441795</v>
      </c>
    </row>
    <row r="600" spans="1:5">
      <c r="A600" s="36" t="s">
        <v>17</v>
      </c>
      <c r="B600" s="36">
        <v>2075</v>
      </c>
      <c r="C600" s="36">
        <v>0.406123321288483</v>
      </c>
      <c r="D600" s="36">
        <v>0.405813541597394</v>
      </c>
      <c r="E600" s="36">
        <v>0.405809121018809</v>
      </c>
    </row>
    <row r="601" spans="1:5">
      <c r="A601" s="36" t="s">
        <v>17</v>
      </c>
      <c r="B601" s="36">
        <v>2076</v>
      </c>
      <c r="C601" s="36">
        <v>0.407762713932759</v>
      </c>
      <c r="D601" s="36">
        <v>0.407525753406786</v>
      </c>
      <c r="E601" s="36">
        <v>0.407553098915355</v>
      </c>
    </row>
    <row r="602" spans="1:5">
      <c r="A602" s="36" t="s">
        <v>17</v>
      </c>
      <c r="B602" s="36">
        <v>2077</v>
      </c>
      <c r="C602" s="36">
        <v>0.409387375378307</v>
      </c>
      <c r="D602" s="36">
        <v>0.409217148729467</v>
      </c>
      <c r="E602" s="36">
        <v>0.409288242530741</v>
      </c>
    </row>
    <row r="603" spans="1:5">
      <c r="A603" s="36" t="s">
        <v>17</v>
      </c>
      <c r="B603" s="36">
        <v>2078</v>
      </c>
      <c r="C603" s="36">
        <v>0.410993576682788</v>
      </c>
      <c r="D603" s="36">
        <v>0.410883340837443</v>
      </c>
      <c r="E603" s="36">
        <v>0.410996489383512</v>
      </c>
    </row>
    <row r="604" spans="1:5">
      <c r="A604" s="36" t="s">
        <v>17</v>
      </c>
      <c r="B604" s="36">
        <v>2079</v>
      </c>
      <c r="C604" s="36">
        <v>0.412577781445674</v>
      </c>
      <c r="D604" s="36">
        <v>0.412520212719341</v>
      </c>
      <c r="E604" s="36">
        <v>0.412660860933975</v>
      </c>
    </row>
    <row r="605" spans="1:5">
      <c r="A605" s="36" t="s">
        <v>17</v>
      </c>
      <c r="B605" s="36">
        <v>2080</v>
      </c>
      <c r="C605" s="36">
        <v>0.414136663936947</v>
      </c>
      <c r="D605" s="36">
        <v>0.414123937454226</v>
      </c>
      <c r="E605" s="36">
        <v>0.414265556208398</v>
      </c>
    </row>
    <row r="606" spans="1:5">
      <c r="A606" s="36" t="s">
        <v>17</v>
      </c>
      <c r="B606" s="36">
        <v>2081</v>
      </c>
      <c r="C606" s="36">
        <v>0.415667427268887</v>
      </c>
      <c r="D606" s="36">
        <v>0.415691898201302</v>
      </c>
      <c r="E606" s="36">
        <v>0.415801200934787</v>
      </c>
    </row>
    <row r="607" spans="1:5">
      <c r="A607" s="36" t="s">
        <v>17</v>
      </c>
      <c r="B607" s="36">
        <v>2082</v>
      </c>
      <c r="C607" s="36">
        <v>0.417168681496809</v>
      </c>
      <c r="D607" s="36">
        <v>0.417225281041004</v>
      </c>
      <c r="E607" s="36">
        <v>0.417279729901721</v>
      </c>
    </row>
    <row r="608" spans="1:5">
      <c r="A608" s="36" t="s">
        <v>17</v>
      </c>
      <c r="B608" s="36">
        <v>2083</v>
      </c>
      <c r="C608" s="36">
        <v>0.418639464767562</v>
      </c>
      <c r="D608" s="36">
        <v>0.418726129970147</v>
      </c>
      <c r="E608" s="36">
        <v>0.418717473564288</v>
      </c>
    </row>
    <row r="609" spans="1:5">
      <c r="A609" s="36" t="s">
        <v>17</v>
      </c>
      <c r="B609" s="36">
        <v>2084</v>
      </c>
      <c r="C609" s="36">
        <v>0.420078929836753</v>
      </c>
      <c r="D609" s="36">
        <v>0.420196397383662</v>
      </c>
      <c r="E609" s="36">
        <v>0.420129732217266</v>
      </c>
    </row>
    <row r="610" spans="1:5">
      <c r="A610" s="36" t="s">
        <v>17</v>
      </c>
      <c r="B610" s="36">
        <v>2085</v>
      </c>
      <c r="C610" s="36">
        <v>0.421486343181212</v>
      </c>
      <c r="D610" s="36">
        <v>0.421637932361407</v>
      </c>
      <c r="E610" s="36">
        <v>0.421530724296048</v>
      </c>
    </row>
    <row r="611" spans="1:5">
      <c r="A611" s="36" t="s">
        <v>17</v>
      </c>
      <c r="B611" s="36">
        <v>2086</v>
      </c>
      <c r="C611" s="36">
        <v>0.422861412587791</v>
      </c>
      <c r="D611" s="36">
        <v>0.423051930194185</v>
      </c>
      <c r="E611" s="36">
        <v>0.422929975117118</v>
      </c>
    </row>
    <row r="612" spans="1:5">
      <c r="A612" s="36" t="s">
        <v>17</v>
      </c>
      <c r="B612" s="36">
        <v>2087</v>
      </c>
      <c r="C612" s="36">
        <v>0.424205217103879</v>
      </c>
      <c r="D612" s="36">
        <v>0.424437397454269</v>
      </c>
      <c r="E612" s="36">
        <v>0.424322225527469</v>
      </c>
    </row>
    <row r="613" spans="1:5">
      <c r="A613" s="36" t="s">
        <v>17</v>
      </c>
      <c r="B613" s="36">
        <v>2088</v>
      </c>
      <c r="C613" s="36">
        <v>0.425519117993314</v>
      </c>
      <c r="D613" s="36">
        <v>0.425792934933807</v>
      </c>
      <c r="E613" s="36">
        <v>0.425699123329585</v>
      </c>
    </row>
    <row r="614" spans="1:5">
      <c r="A614" s="36" t="s">
        <v>17</v>
      </c>
      <c r="B614" s="36">
        <v>2089</v>
      </c>
      <c r="C614" s="36">
        <v>0.426804410046115</v>
      </c>
      <c r="D614" s="36">
        <v>0.427117302175425</v>
      </c>
      <c r="E614" s="36">
        <v>0.427052958675733</v>
      </c>
    </row>
    <row r="615" spans="1:5">
      <c r="A615" s="36" t="s">
        <v>17</v>
      </c>
      <c r="B615" s="36">
        <v>2090</v>
      </c>
      <c r="C615" s="36">
        <v>0.428062316701563</v>
      </c>
      <c r="D615" s="36">
        <v>0.428409417140548</v>
      </c>
      <c r="E615" s="36">
        <v>0.428376694695262</v>
      </c>
    </row>
    <row r="616" spans="1:5">
      <c r="A616" s="36" t="s">
        <v>17</v>
      </c>
      <c r="B616" s="36">
        <v>2091</v>
      </c>
      <c r="C616" s="36">
        <v>0.4292936126605</v>
      </c>
      <c r="D616" s="36">
        <v>0.429668526845586</v>
      </c>
      <c r="E616" s="36">
        <v>0.429664986316607</v>
      </c>
    </row>
    <row r="617" spans="1:5">
      <c r="A617" s="36" t="s">
        <v>17</v>
      </c>
      <c r="B617" s="36">
        <v>2092</v>
      </c>
      <c r="C617" s="36">
        <v>0.430497573290717</v>
      </c>
      <c r="D617" s="36">
        <v>0.430894686734727</v>
      </c>
      <c r="E617" s="36">
        <v>0.430916984170797</v>
      </c>
    </row>
    <row r="618" spans="1:5">
      <c r="A618" s="36" t="s">
        <v>17</v>
      </c>
      <c r="B618" s="36">
        <v>2093</v>
      </c>
      <c r="C618" s="36">
        <v>0.431673219963308</v>
      </c>
      <c r="D618" s="36">
        <v>0.432088179236166</v>
      </c>
      <c r="E618" s="36">
        <v>0.432132961492485</v>
      </c>
    </row>
    <row r="619" spans="1:5">
      <c r="A619" s="36" t="s">
        <v>17</v>
      </c>
      <c r="B619" s="36">
        <v>2094</v>
      </c>
      <c r="C619" s="36">
        <v>0.432819709982966</v>
      </c>
      <c r="D619" s="36">
        <v>0.433249328969414</v>
      </c>
      <c r="E619" s="36">
        <v>0.4333132547234</v>
      </c>
    </row>
    <row r="620" spans="1:5">
      <c r="A620" s="36" t="s">
        <v>17</v>
      </c>
      <c r="B620" s="36">
        <v>2095</v>
      </c>
      <c r="C620" s="36">
        <v>0.433936334088324</v>
      </c>
      <c r="D620" s="36">
        <v>0.434378499067411</v>
      </c>
      <c r="E620" s="36">
        <v>0.434458258269158</v>
      </c>
    </row>
    <row r="621" spans="1:5">
      <c r="A621" s="36" t="s">
        <v>17</v>
      </c>
      <c r="B621" s="36">
        <v>2096</v>
      </c>
      <c r="C621" s="36">
        <v>0.435022513016542</v>
      </c>
      <c r="D621" s="36">
        <v>0.43547608761544</v>
      </c>
      <c r="E621" s="36">
        <v>0.435568419337413</v>
      </c>
    </row>
    <row r="622" spans="1:5">
      <c r="A622" s="36" t="s">
        <v>17</v>
      </c>
      <c r="B622" s="36">
        <v>2097</v>
      </c>
      <c r="C622" s="36">
        <v>0.436077793225764</v>
      </c>
      <c r="D622" s="36">
        <v>0.436542524218328</v>
      </c>
      <c r="E622" s="36">
        <v>0.436644232889142</v>
      </c>
    </row>
    <row r="623" spans="1:5">
      <c r="A623" s="36" t="s">
        <v>17</v>
      </c>
      <c r="B623" s="36">
        <v>2098</v>
      </c>
      <c r="C623" s="36">
        <v>0.43710184187553</v>
      </c>
      <c r="D623" s="36">
        <v>0.437578266705163</v>
      </c>
      <c r="E623" s="36">
        <v>0.437686236730548</v>
      </c>
    </row>
    <row r="624" spans="1:5">
      <c r="A624" s="36" t="s">
        <v>17</v>
      </c>
      <c r="B624" s="36">
        <v>2099</v>
      </c>
      <c r="C624" s="36">
        <v>0.438094441169162</v>
      </c>
      <c r="D624" s="36">
        <v>0.438583797978673</v>
      </c>
      <c r="E624" s="36">
        <v>0.438695006768871</v>
      </c>
    </row>
    <row r="625" spans="1:5">
      <c r="A625" s="36" t="s">
        <v>17</v>
      </c>
      <c r="B625" s="36">
        <v>2100</v>
      </c>
      <c r="C625" s="36">
        <v>0.439055482163638</v>
      </c>
      <c r="D625" s="36">
        <v>0.439559623014469</v>
      </c>
      <c r="E625" s="36">
        <v>0.439671152451416</v>
      </c>
    </row>
    <row r="626" spans="1:5">
      <c r="A626" s="36" t="s">
        <v>13</v>
      </c>
      <c r="B626" s="36">
        <v>2023</v>
      </c>
      <c r="C626" s="36">
        <v>0.484798882972461</v>
      </c>
      <c r="D626" s="36">
        <v>0.486987878758786</v>
      </c>
      <c r="E626" s="36">
        <v>0.489573490505801</v>
      </c>
    </row>
    <row r="627" spans="1:5">
      <c r="A627" s="36" t="s">
        <v>13</v>
      </c>
      <c r="B627" s="36">
        <v>2024</v>
      </c>
      <c r="C627" s="36">
        <v>0.484727196571425</v>
      </c>
      <c r="D627" s="36">
        <v>0.486956824074064</v>
      </c>
      <c r="E627" s="36">
        <v>0.489265297208509</v>
      </c>
    </row>
    <row r="628" spans="1:5">
      <c r="A628" s="36" t="s">
        <v>13</v>
      </c>
      <c r="B628" s="36">
        <v>2025</v>
      </c>
      <c r="C628" s="36">
        <v>0.484701534144011</v>
      </c>
      <c r="D628" s="36">
        <v>0.486964364908326</v>
      </c>
      <c r="E628" s="36">
        <v>0.4890815560864</v>
      </c>
    </row>
    <row r="629" spans="1:5">
      <c r="A629" s="36" t="s">
        <v>13</v>
      </c>
      <c r="B629" s="36">
        <v>2026</v>
      </c>
      <c r="C629" s="36">
        <v>0.484739641363927</v>
      </c>
      <c r="D629" s="36">
        <v>0.487017318000236</v>
      </c>
      <c r="E629" s="36">
        <v>0.489086479362035</v>
      </c>
    </row>
    <row r="630" spans="1:5">
      <c r="A630" s="36" t="s">
        <v>13</v>
      </c>
      <c r="B630" s="36">
        <v>2027</v>
      </c>
      <c r="C630" s="36">
        <v>0.484776022672399</v>
      </c>
      <c r="D630" s="36">
        <v>0.487053996293092</v>
      </c>
      <c r="E630" s="36">
        <v>0.489144134383272</v>
      </c>
    </row>
    <row r="631" spans="1:5">
      <c r="A631" s="36" t="s">
        <v>13</v>
      </c>
      <c r="B631" s="36">
        <v>2028</v>
      </c>
      <c r="C631" s="36">
        <v>0.48476631014131</v>
      </c>
      <c r="D631" s="36">
        <v>0.487030803055793</v>
      </c>
      <c r="E631" s="36">
        <v>0.489150818523814</v>
      </c>
    </row>
    <row r="632" spans="1:5">
      <c r="A632" s="36" t="s">
        <v>13</v>
      </c>
      <c r="B632" s="36">
        <v>2029</v>
      </c>
      <c r="C632" s="36">
        <v>0.48466594439274</v>
      </c>
      <c r="D632" s="36">
        <v>0.486903709170356</v>
      </c>
      <c r="E632" s="36">
        <v>0.489002600560046</v>
      </c>
    </row>
    <row r="633" spans="1:5">
      <c r="A633" s="36" t="s">
        <v>13</v>
      </c>
      <c r="B633" s="36">
        <v>2030</v>
      </c>
      <c r="C633" s="36">
        <v>0.484429204296764</v>
      </c>
      <c r="D633" s="36">
        <v>0.486626908508757</v>
      </c>
      <c r="E633" s="36">
        <v>0.488590627251082</v>
      </c>
    </row>
    <row r="634" spans="1:5">
      <c r="A634" s="36" t="s">
        <v>13</v>
      </c>
      <c r="B634" s="36">
        <v>2031</v>
      </c>
      <c r="C634" s="36">
        <v>0.484032649058558</v>
      </c>
      <c r="D634" s="36">
        <v>0.486175066111671</v>
      </c>
      <c r="E634" s="36">
        <v>0.487846720393004</v>
      </c>
    </row>
    <row r="635" spans="1:5">
      <c r="A635" s="36" t="s">
        <v>13</v>
      </c>
      <c r="B635" s="36">
        <v>2032</v>
      </c>
      <c r="C635" s="36">
        <v>0.483505262835471</v>
      </c>
      <c r="D635" s="36">
        <v>0.485582928764488</v>
      </c>
      <c r="E635" s="36">
        <v>0.486822136543741</v>
      </c>
    </row>
    <row r="636" spans="1:5">
      <c r="A636" s="36" t="s">
        <v>13</v>
      </c>
      <c r="B636" s="36">
        <v>2033</v>
      </c>
      <c r="C636" s="36">
        <v>0.482902242645015</v>
      </c>
      <c r="D636" s="36">
        <v>0.484911749813081</v>
      </c>
      <c r="E636" s="36">
        <v>0.485630636191355</v>
      </c>
    </row>
    <row r="637" spans="1:5">
      <c r="A637" s="36" t="s">
        <v>13</v>
      </c>
      <c r="B637" s="36">
        <v>2034</v>
      </c>
      <c r="C637" s="36">
        <v>0.482282311832439</v>
      </c>
      <c r="D637" s="36">
        <v>0.48422802047298</v>
      </c>
      <c r="E637" s="36">
        <v>0.484406306926926</v>
      </c>
    </row>
    <row r="638" spans="1:5">
      <c r="A638" s="36" t="s">
        <v>13</v>
      </c>
      <c r="B638" s="36">
        <v>2035</v>
      </c>
      <c r="C638" s="36">
        <v>0.4817083027254</v>
      </c>
      <c r="D638" s="36">
        <v>0.48360416991498</v>
      </c>
      <c r="E638" s="36">
        <v>0.483306314389869</v>
      </c>
    </row>
    <row r="639" spans="1:5">
      <c r="A639" s="36" t="s">
        <v>13</v>
      </c>
      <c r="B639" s="36">
        <v>2036</v>
      </c>
      <c r="C639" s="36">
        <v>0.481229684729902</v>
      </c>
      <c r="D639" s="36">
        <v>0.483098008665872</v>
      </c>
      <c r="E639" s="36">
        <v>0.482465172687102</v>
      </c>
    </row>
    <row r="640" spans="1:5">
      <c r="A640" s="36" t="s">
        <v>13</v>
      </c>
      <c r="B640" s="36">
        <v>2037</v>
      </c>
      <c r="C640" s="36">
        <v>0.480829281999831</v>
      </c>
      <c r="D640" s="36">
        <v>0.482683088319731</v>
      </c>
      <c r="E640" s="36">
        <v>0.481854596775178</v>
      </c>
    </row>
    <row r="641" spans="1:5">
      <c r="A641" s="36" t="s">
        <v>13</v>
      </c>
      <c r="B641" s="36">
        <v>2038</v>
      </c>
      <c r="C641" s="36">
        <v>0.480471127797107</v>
      </c>
      <c r="D641" s="36">
        <v>0.482310288660987</v>
      </c>
      <c r="E641" s="36">
        <v>0.48139496519246</v>
      </c>
    </row>
    <row r="642" spans="1:5">
      <c r="A642" s="36" t="s">
        <v>13</v>
      </c>
      <c r="B642" s="36">
        <v>2039</v>
      </c>
      <c r="C642" s="36">
        <v>0.480117632262681</v>
      </c>
      <c r="D642" s="36">
        <v>0.481927942713786</v>
      </c>
      <c r="E642" s="36">
        <v>0.480999224932698</v>
      </c>
    </row>
    <row r="643" spans="1:5">
      <c r="A643" s="36" t="s">
        <v>13</v>
      </c>
      <c r="B643" s="36">
        <v>2040</v>
      </c>
      <c r="C643" s="36">
        <v>0.479729859075069</v>
      </c>
      <c r="D643" s="36">
        <v>0.481482163474131</v>
      </c>
      <c r="E643" s="36">
        <v>0.480575713965237</v>
      </c>
    </row>
    <row r="644" spans="1:5">
      <c r="A644" s="36" t="s">
        <v>13</v>
      </c>
      <c r="B644" s="36">
        <v>2041</v>
      </c>
      <c r="C644" s="36">
        <v>0.479284808524765</v>
      </c>
      <c r="D644" s="36">
        <v>0.480935667633709</v>
      </c>
      <c r="E644" s="36">
        <v>0.480066222577812</v>
      </c>
    </row>
    <row r="645" spans="1:5">
      <c r="A645" s="36" t="s">
        <v>13</v>
      </c>
      <c r="B645" s="36">
        <v>2042</v>
      </c>
      <c r="C645" s="36">
        <v>0.47877978800595</v>
      </c>
      <c r="D645" s="36">
        <v>0.480295974091844</v>
      </c>
      <c r="E645" s="36">
        <v>0.479466899353</v>
      </c>
    </row>
    <row r="646" spans="1:5">
      <c r="A646" s="36" t="s">
        <v>13</v>
      </c>
      <c r="B646" s="36">
        <v>2043</v>
      </c>
      <c r="C646" s="36">
        <v>0.478229553945464</v>
      </c>
      <c r="D646" s="36">
        <v>0.479590608683066</v>
      </c>
      <c r="E646" s="36">
        <v>0.478811731803944</v>
      </c>
    </row>
    <row r="647" spans="1:5">
      <c r="A647" s="36" t="s">
        <v>13</v>
      </c>
      <c r="B647" s="36">
        <v>2044</v>
      </c>
      <c r="C647" s="36">
        <v>0.477649529950655</v>
      </c>
      <c r="D647" s="36">
        <v>0.478848899700307</v>
      </c>
      <c r="E647" s="36">
        <v>0.478136644421397</v>
      </c>
    </row>
    <row r="648" spans="1:5">
      <c r="A648" s="36" t="s">
        <v>13</v>
      </c>
      <c r="B648" s="36">
        <v>2045</v>
      </c>
      <c r="C648" s="36">
        <v>0.477055893337469</v>
      </c>
      <c r="D648" s="36">
        <v>0.47810220390374</v>
      </c>
      <c r="E648" s="36">
        <v>0.477479657001038</v>
      </c>
    </row>
    <row r="649" spans="1:5">
      <c r="A649" s="36" t="s">
        <v>13</v>
      </c>
      <c r="B649" s="36">
        <v>2046</v>
      </c>
      <c r="C649" s="36">
        <v>0.476461035968103</v>
      </c>
      <c r="D649" s="36">
        <v>0.47737275983534</v>
      </c>
      <c r="E649" s="36">
        <v>0.476865526196622</v>
      </c>
    </row>
    <row r="650" spans="1:5">
      <c r="A650" s="36" t="s">
        <v>13</v>
      </c>
      <c r="B650" s="36">
        <v>2047</v>
      </c>
      <c r="C650" s="36">
        <v>0.475858115346069</v>
      </c>
      <c r="D650" s="36">
        <v>0.476637678143844</v>
      </c>
      <c r="E650" s="36">
        <v>0.476253580019879</v>
      </c>
    </row>
    <row r="651" spans="1:5">
      <c r="A651" s="36" t="s">
        <v>13</v>
      </c>
      <c r="B651" s="36">
        <v>2048</v>
      </c>
      <c r="C651" s="36">
        <v>0.475235336666274</v>
      </c>
      <c r="D651" s="36">
        <v>0.475861288991814</v>
      </c>
      <c r="E651" s="36">
        <v>0.475585640608566</v>
      </c>
    </row>
    <row r="652" spans="1:5">
      <c r="A652" s="36" t="s">
        <v>13</v>
      </c>
      <c r="B652" s="36">
        <v>2049</v>
      </c>
      <c r="C652" s="36">
        <v>0.474580428629784</v>
      </c>
      <c r="D652" s="36">
        <v>0.475005988133484</v>
      </c>
      <c r="E652" s="36">
        <v>0.474800826062059</v>
      </c>
    </row>
    <row r="653" spans="1:5">
      <c r="A653" s="36" t="s">
        <v>13</v>
      </c>
      <c r="B653" s="36">
        <v>2050</v>
      </c>
      <c r="C653" s="36">
        <v>0.473880643011911</v>
      </c>
      <c r="D653" s="36">
        <v>0.474032118167731</v>
      </c>
      <c r="E653" s="36">
        <v>0.473835030346117</v>
      </c>
    </row>
    <row r="654" spans="1:5">
      <c r="A654" s="36" t="s">
        <v>13</v>
      </c>
      <c r="B654" s="36">
        <v>2051</v>
      </c>
      <c r="C654" s="36">
        <v>0.473131083106843</v>
      </c>
      <c r="D654" s="36">
        <v>0.472919084361776</v>
      </c>
      <c r="E654" s="36">
        <v>0.472657061549612</v>
      </c>
    </row>
    <row r="655" spans="1:5">
      <c r="A655" s="36" t="s">
        <v>13</v>
      </c>
      <c r="B655" s="36">
        <v>2052</v>
      </c>
      <c r="C655" s="36">
        <v>0.472323783764123</v>
      </c>
      <c r="D655" s="36">
        <v>0.471680473322288</v>
      </c>
      <c r="E655" s="36">
        <v>0.471269354309005</v>
      </c>
    </row>
    <row r="656" spans="1:5">
      <c r="A656" s="36" t="s">
        <v>13</v>
      </c>
      <c r="B656" s="36">
        <v>2053</v>
      </c>
      <c r="C656" s="36">
        <v>0.471459036778742</v>
      </c>
      <c r="D656" s="36">
        <v>0.470353288833951</v>
      </c>
      <c r="E656" s="36">
        <v>0.469713371525215</v>
      </c>
    </row>
    <row r="657" spans="1:5">
      <c r="A657" s="36" t="s">
        <v>13</v>
      </c>
      <c r="B657" s="36">
        <v>2054</v>
      </c>
      <c r="C657" s="36">
        <v>0.470537284088453</v>
      </c>
      <c r="D657" s="36">
        <v>0.46897748079943</v>
      </c>
      <c r="E657" s="36">
        <v>0.468034773141878</v>
      </c>
    </row>
    <row r="658" spans="1:5">
      <c r="A658" s="36" t="s">
        <v>13</v>
      </c>
      <c r="B658" s="36">
        <v>2055</v>
      </c>
      <c r="C658" s="36">
        <v>0.469559153680559</v>
      </c>
      <c r="D658" s="36">
        <v>0.467595711426965</v>
      </c>
      <c r="E658" s="36">
        <v>0.46628355945579</v>
      </c>
    </row>
    <row r="659" spans="1:5">
      <c r="A659" s="36" t="s">
        <v>13</v>
      </c>
      <c r="B659" s="36">
        <v>2056</v>
      </c>
      <c r="C659" s="36">
        <v>0.468529216801548</v>
      </c>
      <c r="D659" s="36">
        <v>0.466243525280744</v>
      </c>
      <c r="E659" s="36">
        <v>0.464512729493545</v>
      </c>
    </row>
    <row r="660" spans="1:5">
      <c r="A660" s="36" t="s">
        <v>13</v>
      </c>
      <c r="B660" s="36">
        <v>2057</v>
      </c>
      <c r="C660" s="36">
        <v>0.46746746316103</v>
      </c>
      <c r="D660" s="36">
        <v>0.464920170843551</v>
      </c>
      <c r="E660" s="36">
        <v>0.462774797467574</v>
      </c>
    </row>
    <row r="661" spans="1:5">
      <c r="A661" s="36" t="s">
        <v>13</v>
      </c>
      <c r="B661" s="36">
        <v>2058</v>
      </c>
      <c r="C661" s="36">
        <v>0.466398567901395</v>
      </c>
      <c r="D661" s="36">
        <v>0.463615005661</v>
      </c>
      <c r="E661" s="36">
        <v>0.461122659374295</v>
      </c>
    </row>
    <row r="662" spans="1:5">
      <c r="A662" s="36" t="s">
        <v>13</v>
      </c>
      <c r="B662" s="36">
        <v>2059</v>
      </c>
      <c r="C662" s="36">
        <v>0.465348053587868</v>
      </c>
      <c r="D662" s="36">
        <v>0.46231678044039</v>
      </c>
      <c r="E662" s="36">
        <v>0.459609063025749</v>
      </c>
    </row>
    <row r="663" spans="1:5">
      <c r="A663" s="36" t="s">
        <v>13</v>
      </c>
      <c r="B663" s="36">
        <v>2060</v>
      </c>
      <c r="C663" s="36">
        <v>0.464342039662639</v>
      </c>
      <c r="D663" s="36">
        <v>0.461013837990592</v>
      </c>
      <c r="E663" s="36">
        <v>0.458285594634256</v>
      </c>
    </row>
    <row r="664" spans="1:5">
      <c r="A664" s="36" t="s">
        <v>13</v>
      </c>
      <c r="B664" s="36">
        <v>2061</v>
      </c>
      <c r="C664" s="36">
        <v>0.463397052088273</v>
      </c>
      <c r="D664" s="36">
        <v>0.459697562991953</v>
      </c>
      <c r="E664" s="36">
        <v>0.457179409650739</v>
      </c>
    </row>
    <row r="665" spans="1:5">
      <c r="A665" s="36" t="s">
        <v>13</v>
      </c>
      <c r="B665" s="36">
        <v>2062</v>
      </c>
      <c r="C665" s="36">
        <v>0.462489735904003</v>
      </c>
      <c r="D665" s="36">
        <v>0.458372375095849</v>
      </c>
      <c r="E665" s="36">
        <v>0.456225292342361</v>
      </c>
    </row>
    <row r="666" spans="1:5">
      <c r="A666" s="36" t="s">
        <v>13</v>
      </c>
      <c r="B666" s="36">
        <v>2063</v>
      </c>
      <c r="C666" s="36">
        <v>0.461586150627705</v>
      </c>
      <c r="D666" s="36">
        <v>0.45704604424776</v>
      </c>
      <c r="E666" s="36">
        <v>0.455334816396579</v>
      </c>
    </row>
    <row r="667" spans="1:5">
      <c r="A667" s="36" t="s">
        <v>13</v>
      </c>
      <c r="B667" s="36">
        <v>2064</v>
      </c>
      <c r="C667" s="36">
        <v>0.460651878555784</v>
      </c>
      <c r="D667" s="36">
        <v>0.455726351772669</v>
      </c>
      <c r="E667" s="36">
        <v>0.45441986343941</v>
      </c>
    </row>
    <row r="668" spans="1:5">
      <c r="A668" s="36" t="s">
        <v>13</v>
      </c>
      <c r="B668" s="36">
        <v>2065</v>
      </c>
      <c r="C668" s="36">
        <v>0.459652267442383</v>
      </c>
      <c r="D668" s="36">
        <v>0.454420992632282</v>
      </c>
      <c r="E668" s="36">
        <v>0.453393272590238</v>
      </c>
    </row>
    <row r="669" spans="1:5">
      <c r="A669" s="36" t="s">
        <v>13</v>
      </c>
      <c r="B669" s="36">
        <v>2066</v>
      </c>
      <c r="C669" s="36">
        <v>0.458559622808932</v>
      </c>
      <c r="D669" s="36">
        <v>0.453134784627899</v>
      </c>
      <c r="E669" s="36">
        <v>0.452191844226494</v>
      </c>
    </row>
    <row r="670" spans="1:5">
      <c r="A670" s="36" t="s">
        <v>13</v>
      </c>
      <c r="B670" s="36">
        <v>2067</v>
      </c>
      <c r="C670" s="36">
        <v>0.457374335857498</v>
      </c>
      <c r="D670" s="36">
        <v>0.451861628266747</v>
      </c>
      <c r="E670" s="36">
        <v>0.450842741726435</v>
      </c>
    </row>
    <row r="671" spans="1:5">
      <c r="A671" s="36" t="s">
        <v>13</v>
      </c>
      <c r="B671" s="36">
        <v>2068</v>
      </c>
      <c r="C671" s="36">
        <v>0.456104322669979</v>
      </c>
      <c r="D671" s="36">
        <v>0.450592853190346</v>
      </c>
      <c r="E671" s="36">
        <v>0.449395757617157</v>
      </c>
    </row>
    <row r="672" spans="1:5">
      <c r="A672" s="36" t="s">
        <v>13</v>
      </c>
      <c r="B672" s="36">
        <v>2069</v>
      </c>
      <c r="C672" s="36">
        <v>0.454758142561949</v>
      </c>
      <c r="D672" s="36">
        <v>0.449320071680326</v>
      </c>
      <c r="E672" s="36">
        <v>0.447900266663561</v>
      </c>
    </row>
    <row r="673" spans="1:5">
      <c r="A673" s="36" t="s">
        <v>13</v>
      </c>
      <c r="B673" s="36">
        <v>2070</v>
      </c>
      <c r="C673" s="36">
        <v>0.453344996358575</v>
      </c>
      <c r="D673" s="36">
        <v>0.448035312633486</v>
      </c>
      <c r="E673" s="36">
        <v>0.446404275050893</v>
      </c>
    </row>
    <row r="674" spans="1:5">
      <c r="A674" s="36" t="s">
        <v>13</v>
      </c>
      <c r="B674" s="36">
        <v>2071</v>
      </c>
      <c r="C674" s="36">
        <v>0.45188245369243</v>
      </c>
      <c r="D674" s="36">
        <v>0.446740909878707</v>
      </c>
      <c r="E674" s="36">
        <v>0.444951604232024</v>
      </c>
    </row>
    <row r="675" spans="1:5">
      <c r="A675" s="36" t="s">
        <v>13</v>
      </c>
      <c r="B675" s="36">
        <v>2072</v>
      </c>
      <c r="C675" s="36">
        <v>0.450419099158456</v>
      </c>
      <c r="D675" s="36">
        <v>0.445477781598562</v>
      </c>
      <c r="E675" s="36">
        <v>0.44357579264954</v>
      </c>
    </row>
    <row r="676" spans="1:5">
      <c r="A676" s="36" t="s">
        <v>13</v>
      </c>
      <c r="B676" s="36">
        <v>2073</v>
      </c>
      <c r="C676" s="36">
        <v>0.449009724055387</v>
      </c>
      <c r="D676" s="36">
        <v>0.444294072711905</v>
      </c>
      <c r="E676" s="36">
        <v>0.442305779098559</v>
      </c>
    </row>
    <row r="677" spans="1:5">
      <c r="A677" s="36" t="s">
        <v>13</v>
      </c>
      <c r="B677" s="36">
        <v>2074</v>
      </c>
      <c r="C677" s="36">
        <v>0.447706614162552</v>
      </c>
      <c r="D677" s="36">
        <v>0.443234845076837</v>
      </c>
      <c r="E677" s="36">
        <v>0.441167810530408</v>
      </c>
    </row>
    <row r="678" spans="1:5">
      <c r="A678" s="36" t="s">
        <v>13</v>
      </c>
      <c r="B678" s="36">
        <v>2075</v>
      </c>
      <c r="C678" s="36">
        <v>0.446559101249332</v>
      </c>
      <c r="D678" s="36">
        <v>0.442342237397649</v>
      </c>
      <c r="E678" s="36">
        <v>0.440185730440694</v>
      </c>
    </row>
    <row r="679" spans="1:5">
      <c r="A679" s="36" t="s">
        <v>13</v>
      </c>
      <c r="B679" s="36">
        <v>2076</v>
      </c>
      <c r="C679" s="36">
        <v>0.445592455727901</v>
      </c>
      <c r="D679" s="36">
        <v>0.441635809346098</v>
      </c>
      <c r="E679" s="36">
        <v>0.439370127108923</v>
      </c>
    </row>
    <row r="680" spans="1:5">
      <c r="A680" s="36" t="s">
        <v>13</v>
      </c>
      <c r="B680" s="36">
        <v>2077</v>
      </c>
      <c r="C680" s="36">
        <v>0.444746540061579</v>
      </c>
      <c r="D680" s="36">
        <v>0.441054060548446</v>
      </c>
      <c r="E680" s="36">
        <v>0.438686009086102</v>
      </c>
    </row>
    <row r="681" spans="1:5">
      <c r="A681" s="36" t="s">
        <v>13</v>
      </c>
      <c r="B681" s="36">
        <v>2078</v>
      </c>
      <c r="C681" s="36">
        <v>0.443942746691894</v>
      </c>
      <c r="D681" s="36">
        <v>0.440518309675818</v>
      </c>
      <c r="E681" s="36">
        <v>0.438089418166818</v>
      </c>
    </row>
    <row r="682" spans="1:5">
      <c r="A682" s="36" t="s">
        <v>13</v>
      </c>
      <c r="B682" s="36">
        <v>2079</v>
      </c>
      <c r="C682" s="36">
        <v>0.443105598619091</v>
      </c>
      <c r="D682" s="36">
        <v>0.439952845031319</v>
      </c>
      <c r="E682" s="36">
        <v>0.437538694339291</v>
      </c>
    </row>
    <row r="683" spans="1:5">
      <c r="A683" s="36" t="s">
        <v>13</v>
      </c>
      <c r="B683" s="36">
        <v>2080</v>
      </c>
      <c r="C683" s="36">
        <v>0.442163215902613</v>
      </c>
      <c r="D683" s="36">
        <v>0.439285069271399</v>
      </c>
      <c r="E683" s="36">
        <v>0.436994125355394</v>
      </c>
    </row>
    <row r="684" spans="1:5">
      <c r="A684" s="36" t="s">
        <v>13</v>
      </c>
      <c r="B684" s="36">
        <v>2081</v>
      </c>
      <c r="C684" s="36">
        <v>0.441067472588219</v>
      </c>
      <c r="D684" s="36">
        <v>0.438466650150162</v>
      </c>
      <c r="E684" s="36">
        <v>0.436418748316976</v>
      </c>
    </row>
    <row r="685" spans="1:5">
      <c r="A685" s="36" t="s">
        <v>13</v>
      </c>
      <c r="B685" s="36">
        <v>2082</v>
      </c>
      <c r="C685" s="36">
        <v>0.439849565808498</v>
      </c>
      <c r="D685" s="36">
        <v>0.43753247356854</v>
      </c>
      <c r="E685" s="36">
        <v>0.435781118908324</v>
      </c>
    </row>
    <row r="686" spans="1:5">
      <c r="A686" s="36" t="s">
        <v>13</v>
      </c>
      <c r="B686" s="36">
        <v>2083</v>
      </c>
      <c r="C686" s="36">
        <v>0.43855873161328</v>
      </c>
      <c r="D686" s="36">
        <v>0.436536006742871</v>
      </c>
      <c r="E686" s="36">
        <v>0.435053001652198</v>
      </c>
    </row>
    <row r="687" spans="1:5">
      <c r="A687" s="36" t="s">
        <v>13</v>
      </c>
      <c r="B687" s="36">
        <v>2084</v>
      </c>
      <c r="C687" s="36">
        <v>0.437241584285973</v>
      </c>
      <c r="D687" s="36">
        <v>0.435527508001874</v>
      </c>
      <c r="E687" s="36">
        <v>0.434209223934216</v>
      </c>
    </row>
    <row r="688" spans="1:5">
      <c r="A688" s="36" t="s">
        <v>13</v>
      </c>
      <c r="B688" s="36">
        <v>2085</v>
      </c>
      <c r="C688" s="36">
        <v>0.435941071800812</v>
      </c>
      <c r="D688" s="36">
        <v>0.434553174987502</v>
      </c>
      <c r="E688" s="36">
        <v>0.433228716634908</v>
      </c>
    </row>
    <row r="689" spans="1:5">
      <c r="A689" s="36" t="s">
        <v>13</v>
      </c>
      <c r="B689" s="36">
        <v>2086</v>
      </c>
      <c r="C689" s="36">
        <v>0.434687513416841</v>
      </c>
      <c r="D689" s="36">
        <v>0.433647252202253</v>
      </c>
      <c r="E689" s="36">
        <v>0.432124174443576</v>
      </c>
    </row>
    <row r="690" spans="1:5">
      <c r="A690" s="36" t="s">
        <v>13</v>
      </c>
      <c r="B690" s="36">
        <v>2087</v>
      </c>
      <c r="C690" s="36">
        <v>0.433475718738045</v>
      </c>
      <c r="D690" s="36">
        <v>0.432811042604434</v>
      </c>
      <c r="E690" s="36">
        <v>0.431019874268633</v>
      </c>
    </row>
    <row r="691" spans="1:5">
      <c r="A691" s="36" t="s">
        <v>13</v>
      </c>
      <c r="B691" s="36">
        <v>2088</v>
      </c>
      <c r="C691" s="36">
        <v>0.432293315168258</v>
      </c>
      <c r="D691" s="36">
        <v>0.4320382913445</v>
      </c>
      <c r="E691" s="36">
        <v>0.430051287062271</v>
      </c>
    </row>
    <row r="692" spans="1:5">
      <c r="A692" s="36" t="s">
        <v>13</v>
      </c>
      <c r="B692" s="36">
        <v>2089</v>
      </c>
      <c r="C692" s="36">
        <v>0.431129581827355</v>
      </c>
      <c r="D692" s="36">
        <v>0.431323113650059</v>
      </c>
      <c r="E692" s="36">
        <v>0.429336209070661</v>
      </c>
    </row>
    <row r="693" spans="1:5">
      <c r="A693" s="36" t="s">
        <v>13</v>
      </c>
      <c r="B693" s="36">
        <v>2090</v>
      </c>
      <c r="C693" s="36">
        <v>0.429975551943283</v>
      </c>
      <c r="D693" s="36">
        <v>0.430659990343382</v>
      </c>
      <c r="E693" s="36">
        <v>0.428982606237557</v>
      </c>
    </row>
    <row r="694" spans="1:5">
      <c r="A694" s="36" t="s">
        <v>13</v>
      </c>
      <c r="B694" s="36">
        <v>2091</v>
      </c>
      <c r="C694" s="36">
        <v>0.428827613092295</v>
      </c>
      <c r="D694" s="36">
        <v>0.430043012877454</v>
      </c>
      <c r="E694" s="36">
        <v>0.429061400463321</v>
      </c>
    </row>
    <row r="695" spans="1:5">
      <c r="A695" s="36" t="s">
        <v>13</v>
      </c>
      <c r="B695" s="36">
        <v>2092</v>
      </c>
      <c r="C695" s="36">
        <v>0.427696796596103</v>
      </c>
      <c r="D695" s="36">
        <v>0.429463763795741</v>
      </c>
      <c r="E695" s="36">
        <v>0.429495285023757</v>
      </c>
    </row>
    <row r="696" spans="1:5">
      <c r="A696" s="36" t="s">
        <v>13</v>
      </c>
      <c r="B696" s="36">
        <v>2093</v>
      </c>
      <c r="C696" s="36">
        <v>0.426596031240261</v>
      </c>
      <c r="D696" s="36">
        <v>0.428913730062956</v>
      </c>
      <c r="E696" s="36">
        <v>0.430175436314787</v>
      </c>
    </row>
    <row r="697" spans="1:5">
      <c r="A697" s="36" t="s">
        <v>13</v>
      </c>
      <c r="B697" s="36">
        <v>2094</v>
      </c>
      <c r="C697" s="36">
        <v>0.425536231285635</v>
      </c>
      <c r="D697" s="36">
        <v>0.428385029020487</v>
      </c>
      <c r="E697" s="36">
        <v>0.430989498031352</v>
      </c>
    </row>
    <row r="698" spans="1:5">
      <c r="A698" s="36" t="s">
        <v>13</v>
      </c>
      <c r="B698" s="36">
        <v>2095</v>
      </c>
      <c r="C698" s="36">
        <v>0.424526269567867</v>
      </c>
      <c r="D698" s="36">
        <v>0.427870372200289</v>
      </c>
      <c r="E698" s="36">
        <v>0.431813463282693</v>
      </c>
    </row>
    <row r="699" spans="1:5">
      <c r="A699" s="36" t="s">
        <v>13</v>
      </c>
      <c r="B699" s="36">
        <v>2096</v>
      </c>
      <c r="C699" s="36">
        <v>0.42357303317987</v>
      </c>
      <c r="D699" s="36">
        <v>0.427363044777071</v>
      </c>
      <c r="E699" s="36">
        <v>0.43250937284306</v>
      </c>
    </row>
    <row r="700" spans="1:5">
      <c r="A700" s="36" t="s">
        <v>13</v>
      </c>
      <c r="B700" s="36">
        <v>2097</v>
      </c>
      <c r="C700" s="36">
        <v>0.422681551076827</v>
      </c>
      <c r="D700" s="36">
        <v>0.426856900884474</v>
      </c>
      <c r="E700" s="36">
        <v>0.43292887458057</v>
      </c>
    </row>
    <row r="701" spans="1:5">
      <c r="A701" s="36" t="s">
        <v>13</v>
      </c>
      <c r="B701" s="36">
        <v>2098</v>
      </c>
      <c r="C701" s="36">
        <v>0.421855178925257</v>
      </c>
      <c r="D701" s="36">
        <v>0.426346374440349</v>
      </c>
      <c r="E701" s="36">
        <v>0.432922452933427</v>
      </c>
    </row>
    <row r="702" spans="1:5">
      <c r="A702" s="36" t="s">
        <v>13</v>
      </c>
      <c r="B702" s="36">
        <v>2099</v>
      </c>
      <c r="C702" s="36">
        <v>0.421095824637696</v>
      </c>
      <c r="D702" s="36">
        <v>0.425826504595868</v>
      </c>
      <c r="E702" s="36">
        <v>0.432354194846456</v>
      </c>
    </row>
    <row r="703" spans="1:5">
      <c r="A703" s="36" t="s">
        <v>13</v>
      </c>
      <c r="B703" s="36">
        <v>2100</v>
      </c>
      <c r="C703" s="36">
        <v>0.420404198170261</v>
      </c>
      <c r="D703" s="36">
        <v>0.425292974383917</v>
      </c>
      <c r="E703" s="36">
        <v>0.431122430205426</v>
      </c>
    </row>
    <row r="704" spans="1:5">
      <c r="A704" s="36" t="s">
        <v>9</v>
      </c>
      <c r="B704" s="36">
        <v>2023</v>
      </c>
      <c r="C704" s="36">
        <v>0.486546054704088</v>
      </c>
      <c r="D704" s="36">
        <v>0.487834772917436</v>
      </c>
      <c r="E704" s="36">
        <v>0.48591271898987</v>
      </c>
    </row>
    <row r="705" spans="1:5">
      <c r="A705" s="36" t="s">
        <v>9</v>
      </c>
      <c r="B705" s="36">
        <v>2024</v>
      </c>
      <c r="C705" s="36">
        <v>0.487093818228916</v>
      </c>
      <c r="D705" s="36">
        <v>0.488075534429618</v>
      </c>
      <c r="E705" s="36">
        <v>0.486511818200014</v>
      </c>
    </row>
    <row r="706" spans="1:5">
      <c r="A706" s="36" t="s">
        <v>9</v>
      </c>
      <c r="B706" s="36">
        <v>2025</v>
      </c>
      <c r="C706" s="36">
        <v>0.487628276849176</v>
      </c>
      <c r="D706" s="36">
        <v>0.488315087018938</v>
      </c>
      <c r="E706" s="36">
        <v>0.487097423863015</v>
      </c>
    </row>
    <row r="707" spans="1:5">
      <c r="A707" s="36" t="s">
        <v>9</v>
      </c>
      <c r="B707" s="36">
        <v>2026</v>
      </c>
      <c r="C707" s="36">
        <v>0.48735236383184</v>
      </c>
      <c r="D707" s="36">
        <v>0.487936375990179</v>
      </c>
      <c r="E707" s="36">
        <v>0.486852206733001</v>
      </c>
    </row>
    <row r="708" spans="1:5">
      <c r="A708" s="36" t="s">
        <v>9</v>
      </c>
      <c r="B708" s="36">
        <v>2027</v>
      </c>
      <c r="C708" s="36">
        <v>0.48708072629298</v>
      </c>
      <c r="D708" s="36">
        <v>0.487560442206902</v>
      </c>
      <c r="E708" s="36">
        <v>0.486613215269651</v>
      </c>
    </row>
    <row r="709" spans="1:5">
      <c r="A709" s="36" t="s">
        <v>9</v>
      </c>
      <c r="B709" s="36">
        <v>2028</v>
      </c>
      <c r="C709" s="36">
        <v>0.486811471582081</v>
      </c>
      <c r="D709" s="36">
        <v>0.487184320206083</v>
      </c>
      <c r="E709" s="36">
        <v>0.486377231951827</v>
      </c>
    </row>
    <row r="710" spans="1:5">
      <c r="A710" s="36" t="s">
        <v>9</v>
      </c>
      <c r="B710" s="36">
        <v>2029</v>
      </c>
      <c r="C710" s="36">
        <v>0.486542618032046</v>
      </c>
      <c r="D710" s="36">
        <v>0.486804844351117</v>
      </c>
      <c r="E710" s="36">
        <v>0.486140916197238</v>
      </c>
    </row>
    <row r="711" spans="1:5">
      <c r="A711" s="36" t="s">
        <v>9</v>
      </c>
      <c r="B711" s="36">
        <v>2030</v>
      </c>
      <c r="C711" s="36">
        <v>0.486272098189962</v>
      </c>
      <c r="D711" s="36">
        <v>0.486418652835263</v>
      </c>
      <c r="E711" s="36">
        <v>0.485900808722232</v>
      </c>
    </row>
    <row r="712" spans="1:5">
      <c r="A712" s="36" t="s">
        <v>9</v>
      </c>
      <c r="B712" s="36">
        <v>2031</v>
      </c>
      <c r="C712" s="36">
        <v>0.48576634012681</v>
      </c>
      <c r="D712" s="36">
        <v>0.485871286386895</v>
      </c>
      <c r="E712" s="36">
        <v>0.485431217190109</v>
      </c>
    </row>
    <row r="713" spans="1:5">
      <c r="A713" s="36" t="s">
        <v>9</v>
      </c>
      <c r="B713" s="36">
        <v>2032</v>
      </c>
      <c r="C713" s="36">
        <v>0.485248159804666</v>
      </c>
      <c r="D713" s="36">
        <v>0.485307999260602</v>
      </c>
      <c r="E713" s="36">
        <v>0.484947517970043</v>
      </c>
    </row>
    <row r="714" spans="1:5">
      <c r="A714" s="36" t="s">
        <v>9</v>
      </c>
      <c r="B714" s="36">
        <v>2033</v>
      </c>
      <c r="C714" s="36">
        <v>0.48472115537272</v>
      </c>
      <c r="D714" s="36">
        <v>0.484731511177885</v>
      </c>
      <c r="E714" s="36">
        <v>0.484454391202488</v>
      </c>
    </row>
    <row r="715" spans="1:5">
      <c r="A715" s="36" t="s">
        <v>9</v>
      </c>
      <c r="B715" s="36">
        <v>2034</v>
      </c>
      <c r="C715" s="36">
        <v>0.484189198331239</v>
      </c>
      <c r="D715" s="36">
        <v>0.484144786030659</v>
      </c>
      <c r="E715" s="36">
        <v>0.483956844054973</v>
      </c>
    </row>
    <row r="716" spans="1:5">
      <c r="A716" s="36" t="s">
        <v>9</v>
      </c>
      <c r="B716" s="36">
        <v>2035</v>
      </c>
      <c r="C716" s="36">
        <v>0.483656429046477</v>
      </c>
      <c r="D716" s="36">
        <v>0.483551031816241</v>
      </c>
      <c r="E716" s="36">
        <v>0.483460207153967</v>
      </c>
    </row>
    <row r="717" spans="1:5">
      <c r="A717" s="36" t="s">
        <v>9</v>
      </c>
      <c r="B717" s="36">
        <v>2036</v>
      </c>
      <c r="C717" s="36">
        <v>0.483104587321083</v>
      </c>
      <c r="D717" s="36">
        <v>0.482939171602348</v>
      </c>
      <c r="E717" s="36">
        <v>0.482944956117191</v>
      </c>
    </row>
    <row r="718" spans="1:5">
      <c r="A718" s="36" t="s">
        <v>9</v>
      </c>
      <c r="B718" s="36">
        <v>2037</v>
      </c>
      <c r="C718" s="36">
        <v>0.482555779855426</v>
      </c>
      <c r="D718" s="36">
        <v>0.482325136719467</v>
      </c>
      <c r="E718" s="36">
        <v>0.482434098169185</v>
      </c>
    </row>
    <row r="719" spans="1:5">
      <c r="A719" s="36" t="s">
        <v>9</v>
      </c>
      <c r="B719" s="36">
        <v>2038</v>
      </c>
      <c r="C719" s="36">
        <v>0.482010557892563</v>
      </c>
      <c r="D719" s="36">
        <v>0.481711195715022</v>
      </c>
      <c r="E719" s="36">
        <v>0.481926573028153</v>
      </c>
    </row>
    <row r="720" spans="1:5">
      <c r="A720" s="36" t="s">
        <v>9</v>
      </c>
      <c r="B720" s="36">
        <v>2039</v>
      </c>
      <c r="C720" s="36">
        <v>0.481469457722877</v>
      </c>
      <c r="D720" s="36">
        <v>0.481099729572249</v>
      </c>
      <c r="E720" s="36">
        <v>0.481421220001389</v>
      </c>
    </row>
    <row r="721" spans="1:5">
      <c r="A721" s="36" t="s">
        <v>9</v>
      </c>
      <c r="B721" s="36">
        <v>2040</v>
      </c>
      <c r="C721" s="36">
        <v>0.480932999596965</v>
      </c>
      <c r="D721" s="36">
        <v>0.48049322173702</v>
      </c>
      <c r="E721" s="36">
        <v>0.480916783155056</v>
      </c>
    </row>
    <row r="722" spans="1:5">
      <c r="A722" s="36" t="s">
        <v>9</v>
      </c>
      <c r="B722" s="36">
        <v>2041</v>
      </c>
      <c r="C722" s="36">
        <v>0.48014480826585</v>
      </c>
      <c r="D722" s="36">
        <v>0.479727509480551</v>
      </c>
      <c r="E722" s="36">
        <v>0.480188586381896</v>
      </c>
    </row>
    <row r="723" spans="1:5">
      <c r="A723" s="36" t="s">
        <v>9</v>
      </c>
      <c r="B723" s="36">
        <v>2042</v>
      </c>
      <c r="C723" s="36">
        <v>0.479349078307962</v>
      </c>
      <c r="D723" s="36">
        <v>0.478959570249558</v>
      </c>
      <c r="E723" s="36">
        <v>0.479450090158615</v>
      </c>
    </row>
    <row r="724" spans="1:5">
      <c r="A724" s="36" t="s">
        <v>9</v>
      </c>
      <c r="B724" s="36">
        <v>2043</v>
      </c>
      <c r="C724" s="36">
        <v>0.47854444904533</v>
      </c>
      <c r="D724" s="36">
        <v>0.478186843104082</v>
      </c>
      <c r="E724" s="36">
        <v>0.478701305242935</v>
      </c>
    </row>
    <row r="725" spans="1:5">
      <c r="A725" s="36" t="s">
        <v>9</v>
      </c>
      <c r="B725" s="36">
        <v>2044</v>
      </c>
      <c r="C725" s="36">
        <v>0.477729434818398</v>
      </c>
      <c r="D725" s="36">
        <v>0.477406546861989</v>
      </c>
      <c r="E725" s="36">
        <v>0.477942241357537</v>
      </c>
    </row>
    <row r="726" spans="1:5">
      <c r="A726" s="36" t="s">
        <v>9</v>
      </c>
      <c r="B726" s="36">
        <v>2045</v>
      </c>
      <c r="C726" s="36">
        <v>0.476902433257684</v>
      </c>
      <c r="D726" s="36">
        <v>0.476615695189111</v>
      </c>
      <c r="E726" s="36">
        <v>0.477172907964939</v>
      </c>
    </row>
    <row r="727" spans="1:5">
      <c r="A727" s="36" t="s">
        <v>9</v>
      </c>
      <c r="B727" s="36">
        <v>2046</v>
      </c>
      <c r="C727" s="36">
        <v>0.476058145088836</v>
      </c>
      <c r="D727" s="36">
        <v>0.475810596427057</v>
      </c>
      <c r="E727" s="36">
        <v>0.476389102283131</v>
      </c>
    </row>
    <row r="728" spans="1:5">
      <c r="A728" s="36" t="s">
        <v>9</v>
      </c>
      <c r="B728" s="36">
        <v>2047</v>
      </c>
      <c r="C728" s="36">
        <v>0.475202244140287</v>
      </c>
      <c r="D728" s="36">
        <v>0.474992581271915</v>
      </c>
      <c r="E728" s="36">
        <v>0.475595865488252</v>
      </c>
    </row>
    <row r="729" spans="1:5">
      <c r="A729" s="36" t="s">
        <v>9</v>
      </c>
      <c r="B729" s="36">
        <v>2048</v>
      </c>
      <c r="C729" s="36">
        <v>0.474337096831639</v>
      </c>
      <c r="D729" s="36">
        <v>0.474162554229028</v>
      </c>
      <c r="E729" s="36">
        <v>0.474794247097221</v>
      </c>
    </row>
    <row r="730" spans="1:5">
      <c r="A730" s="36" t="s">
        <v>9</v>
      </c>
      <c r="B730" s="36">
        <v>2049</v>
      </c>
      <c r="C730" s="36">
        <v>0.473465198799666</v>
      </c>
      <c r="D730" s="36">
        <v>0.473321480933057</v>
      </c>
      <c r="E730" s="36">
        <v>0.473985348835197</v>
      </c>
    </row>
    <row r="731" spans="1:5">
      <c r="A731" s="36" t="s">
        <v>9</v>
      </c>
      <c r="B731" s="36">
        <v>2050</v>
      </c>
      <c r="C731" s="36">
        <v>0.472589161652182</v>
      </c>
      <c r="D731" s="36">
        <v>0.472470385049321</v>
      </c>
      <c r="E731" s="36">
        <v>0.473170320328712</v>
      </c>
    </row>
    <row r="732" spans="1:5">
      <c r="A732" s="36" t="s">
        <v>9</v>
      </c>
      <c r="B732" s="36">
        <v>2051</v>
      </c>
      <c r="C732" s="36">
        <v>0.471502032487105</v>
      </c>
      <c r="D732" s="36">
        <v>0.47137315516394</v>
      </c>
      <c r="E732" s="36">
        <v>0.472071827526816</v>
      </c>
    </row>
    <row r="733" spans="1:5">
      <c r="A733" s="36" t="s">
        <v>9</v>
      </c>
      <c r="B733" s="36">
        <v>2052</v>
      </c>
      <c r="C733" s="36">
        <v>0.470408013759709</v>
      </c>
      <c r="D733" s="36">
        <v>0.470261702626934</v>
      </c>
      <c r="E733" s="36">
        <v>0.470963146781883</v>
      </c>
    </row>
    <row r="734" spans="1:5">
      <c r="A734" s="36" t="s">
        <v>9</v>
      </c>
      <c r="B734" s="36">
        <v>2053</v>
      </c>
      <c r="C734" s="36">
        <v>0.469307840654884</v>
      </c>
      <c r="D734" s="36">
        <v>0.469137948520994</v>
      </c>
      <c r="E734" s="36">
        <v>0.469847948539167</v>
      </c>
    </row>
    <row r="735" spans="1:5">
      <c r="A735" s="36" t="s">
        <v>9</v>
      </c>
      <c r="B735" s="36">
        <v>2054</v>
      </c>
      <c r="C735" s="36">
        <v>0.468202232661464</v>
      </c>
      <c r="D735" s="36">
        <v>0.468003905433765</v>
      </c>
      <c r="E735" s="36">
        <v>0.468730039959225</v>
      </c>
    </row>
    <row r="736" spans="1:5">
      <c r="A736" s="36" t="s">
        <v>9</v>
      </c>
      <c r="B736" s="36">
        <v>2055</v>
      </c>
      <c r="C736" s="36">
        <v>0.467091893433197</v>
      </c>
      <c r="D736" s="36">
        <v>0.466861664083452</v>
      </c>
      <c r="E736" s="36">
        <v>0.467613331295368</v>
      </c>
    </row>
    <row r="737" spans="1:5">
      <c r="A737" s="36" t="s">
        <v>9</v>
      </c>
      <c r="B737" s="36">
        <v>2056</v>
      </c>
      <c r="C737" s="36">
        <v>0.465977283959263</v>
      </c>
      <c r="D737" s="36">
        <v>0.465713205180573</v>
      </c>
      <c r="E737" s="36">
        <v>0.466500257331814</v>
      </c>
    </row>
    <row r="738" spans="1:5">
      <c r="A738" s="36" t="s">
        <v>9</v>
      </c>
      <c r="B738" s="36">
        <v>2057</v>
      </c>
      <c r="C738" s="36">
        <v>0.464857929315594</v>
      </c>
      <c r="D738" s="36">
        <v>0.464559853542663</v>
      </c>
      <c r="E738" s="36">
        <v>0.465387018906324</v>
      </c>
    </row>
    <row r="739" spans="1:5">
      <c r="A739" s="36" t="s">
        <v>9</v>
      </c>
      <c r="B739" s="36">
        <v>2058</v>
      </c>
      <c r="C739" s="36">
        <v>0.463733084792614</v>
      </c>
      <c r="D739" s="36">
        <v>0.463402771478383</v>
      </c>
      <c r="E739" s="36">
        <v>0.464268063111783</v>
      </c>
    </row>
    <row r="740" spans="1:5">
      <c r="A740" s="36" t="s">
        <v>9</v>
      </c>
      <c r="B740" s="36">
        <v>2059</v>
      </c>
      <c r="C740" s="36">
        <v>0.462601975039531</v>
      </c>
      <c r="D740" s="36">
        <v>0.462243125257122</v>
      </c>
      <c r="E740" s="36">
        <v>0.463137667389367</v>
      </c>
    </row>
    <row r="741" spans="1:5">
      <c r="A741" s="36" t="s">
        <v>9</v>
      </c>
      <c r="B741" s="36">
        <v>2060</v>
      </c>
      <c r="C741" s="36">
        <v>0.461463810680502</v>
      </c>
      <c r="D741" s="36">
        <v>0.461082081001853</v>
      </c>
      <c r="E741" s="36">
        <v>0.461990008946062</v>
      </c>
    </row>
    <row r="742" spans="1:5">
      <c r="A742" s="36" t="s">
        <v>9</v>
      </c>
      <c r="B742" s="36">
        <v>2061</v>
      </c>
      <c r="C742" s="36">
        <v>0.460318266467966</v>
      </c>
      <c r="D742" s="36">
        <v>0.459920954560967</v>
      </c>
      <c r="E742" s="36">
        <v>0.460821194942003</v>
      </c>
    </row>
    <row r="743" spans="1:5">
      <c r="A743" s="36" t="s">
        <v>9</v>
      </c>
      <c r="B743" s="36">
        <v>2062</v>
      </c>
      <c r="C743" s="36">
        <v>0.459166886859643</v>
      </c>
      <c r="D743" s="36">
        <v>0.458761670446549</v>
      </c>
      <c r="E743" s="36">
        <v>0.459635243461973</v>
      </c>
    </row>
    <row r="744" spans="1:5">
      <c r="A744" s="36" t="s">
        <v>9</v>
      </c>
      <c r="B744" s="36">
        <v>2063</v>
      </c>
      <c r="C744" s="36">
        <v>0.458011715192861</v>
      </c>
      <c r="D744" s="36">
        <v>0.457606293332138</v>
      </c>
      <c r="E744" s="36">
        <v>0.458438278637878</v>
      </c>
    </row>
    <row r="745" spans="1:5">
      <c r="A745" s="36" t="s">
        <v>9</v>
      </c>
      <c r="B745" s="36">
        <v>2064</v>
      </c>
      <c r="C745" s="36">
        <v>0.456854821345801</v>
      </c>
      <c r="D745" s="36">
        <v>0.456456860511021</v>
      </c>
      <c r="E745" s="36">
        <v>0.457236525838909</v>
      </c>
    </row>
    <row r="746" spans="1:5">
      <c r="A746" s="36" t="s">
        <v>9</v>
      </c>
      <c r="B746" s="36">
        <v>2065</v>
      </c>
      <c r="C746" s="36">
        <v>0.455698287160485</v>
      </c>
      <c r="D746" s="36">
        <v>0.455315367936018</v>
      </c>
      <c r="E746" s="36">
        <v>0.456036246474015</v>
      </c>
    </row>
    <row r="747" spans="1:5">
      <c r="A747" s="36" t="s">
        <v>9</v>
      </c>
      <c r="B747" s="36">
        <v>2066</v>
      </c>
      <c r="C747" s="36">
        <v>0.454544616624689</v>
      </c>
      <c r="D747" s="36">
        <v>0.454183593807793</v>
      </c>
      <c r="E747" s="36">
        <v>0.454843413442873</v>
      </c>
    </row>
    <row r="748" spans="1:5">
      <c r="A748" s="36" t="s">
        <v>9</v>
      </c>
      <c r="B748" s="36">
        <v>2067</v>
      </c>
      <c r="C748" s="36">
        <v>0.453397980724123</v>
      </c>
      <c r="D748" s="36">
        <v>0.453062602940821</v>
      </c>
      <c r="E748" s="36">
        <v>0.453662881418782</v>
      </c>
    </row>
    <row r="749" spans="1:5">
      <c r="A749" s="36" t="s">
        <v>9</v>
      </c>
      <c r="B749" s="36">
        <v>2068</v>
      </c>
      <c r="C749" s="36">
        <v>0.452262888426438</v>
      </c>
      <c r="D749" s="36">
        <v>0.451953240323863</v>
      </c>
      <c r="E749" s="36">
        <v>0.452499120183547</v>
      </c>
    </row>
    <row r="750" spans="1:5">
      <c r="A750" s="36" t="s">
        <v>9</v>
      </c>
      <c r="B750" s="36">
        <v>2069</v>
      </c>
      <c r="C750" s="36">
        <v>0.451143718213712</v>
      </c>
      <c r="D750" s="36">
        <v>0.450856294885866</v>
      </c>
      <c r="E750" s="36">
        <v>0.451356432990961</v>
      </c>
    </row>
    <row r="751" spans="1:5">
      <c r="A751" s="36" t="s">
        <v>9</v>
      </c>
      <c r="B751" s="36">
        <v>2070</v>
      </c>
      <c r="C751" s="36">
        <v>0.450044680661835</v>
      </c>
      <c r="D751" s="36">
        <v>0.449772499458611</v>
      </c>
      <c r="E751" s="36">
        <v>0.450238921215859</v>
      </c>
    </row>
    <row r="752" spans="1:5">
      <c r="A752" s="36" t="s">
        <v>9</v>
      </c>
      <c r="B752" s="36">
        <v>2071</v>
      </c>
      <c r="C752" s="36">
        <v>0.448967918879659</v>
      </c>
      <c r="D752" s="36">
        <v>0.448702326581313</v>
      </c>
      <c r="E752" s="36">
        <v>0.449148179014197</v>
      </c>
    </row>
    <row r="753" spans="1:5">
      <c r="A753" s="36" t="s">
        <v>9</v>
      </c>
      <c r="B753" s="36">
        <v>2072</v>
      </c>
      <c r="C753" s="36">
        <v>0.447908023647051</v>
      </c>
      <c r="D753" s="36">
        <v>0.447645391772446</v>
      </c>
      <c r="E753" s="36">
        <v>0.448076615230428</v>
      </c>
    </row>
    <row r="754" spans="1:5">
      <c r="A754" s="36" t="s">
        <v>9</v>
      </c>
      <c r="B754" s="36">
        <v>2073</v>
      </c>
      <c r="C754" s="36">
        <v>0.446857903853368</v>
      </c>
      <c r="D754" s="36">
        <v>0.446601100969153</v>
      </c>
      <c r="E754" s="36">
        <v>0.447014616691608</v>
      </c>
    </row>
    <row r="755" spans="1:5">
      <c r="A755" s="36" t="s">
        <v>9</v>
      </c>
      <c r="B755" s="36">
        <v>2074</v>
      </c>
      <c r="C755" s="36">
        <v>0.445810755384462</v>
      </c>
      <c r="D755" s="36">
        <v>0.445568869806149</v>
      </c>
      <c r="E755" s="36">
        <v>0.445952957775407</v>
      </c>
    </row>
    <row r="756" spans="1:5">
      <c r="A756" s="36" t="s">
        <v>9</v>
      </c>
      <c r="B756" s="36">
        <v>2075</v>
      </c>
      <c r="C756" s="36">
        <v>0.444760132372312</v>
      </c>
      <c r="D756" s="36">
        <v>0.444548134206551</v>
      </c>
      <c r="E756" s="36">
        <v>0.444882899211989</v>
      </c>
    </row>
    <row r="757" spans="1:5">
      <c r="A757" s="36" t="s">
        <v>9</v>
      </c>
      <c r="B757" s="36">
        <v>2076</v>
      </c>
      <c r="C757" s="36">
        <v>0.443702678420349</v>
      </c>
      <c r="D757" s="36">
        <v>0.443539070432289</v>
      </c>
      <c r="E757" s="36">
        <v>0.443799996778226</v>
      </c>
    </row>
    <row r="758" spans="1:5">
      <c r="A758" s="36" t="s">
        <v>9</v>
      </c>
      <c r="B758" s="36">
        <v>2077</v>
      </c>
      <c r="C758" s="36">
        <v>0.442645843149014</v>
      </c>
      <c r="D758" s="36">
        <v>0.442544650441058</v>
      </c>
      <c r="E758" s="36">
        <v>0.44271485033459</v>
      </c>
    </row>
    <row r="759" spans="1:5">
      <c r="A759" s="36" t="s">
        <v>9</v>
      </c>
      <c r="B759" s="36">
        <v>2078</v>
      </c>
      <c r="C759" s="36">
        <v>0.441599328483978</v>
      </c>
      <c r="D759" s="36">
        <v>0.441568358235856</v>
      </c>
      <c r="E759" s="36">
        <v>0.441641164961895</v>
      </c>
    </row>
    <row r="760" spans="1:5">
      <c r="A760" s="36" t="s">
        <v>9</v>
      </c>
      <c r="B760" s="36">
        <v>2079</v>
      </c>
      <c r="C760" s="36">
        <v>0.44057226782423</v>
      </c>
      <c r="D760" s="36">
        <v>0.440613439694921</v>
      </c>
      <c r="E760" s="36">
        <v>0.440591807201586</v>
      </c>
    </row>
    <row r="761" spans="1:5">
      <c r="A761" s="36" t="s">
        <v>9</v>
      </c>
      <c r="B761" s="36">
        <v>2080</v>
      </c>
      <c r="C761" s="36">
        <v>0.439573154975708</v>
      </c>
      <c r="D761" s="36">
        <v>0.439682886962193</v>
      </c>
      <c r="E761" s="36">
        <v>0.439578703287487</v>
      </c>
    </row>
    <row r="762" spans="1:5">
      <c r="A762" s="36" t="s">
        <v>9</v>
      </c>
      <c r="B762" s="36">
        <v>2081</v>
      </c>
      <c r="C762" s="36">
        <v>0.438608103761986</v>
      </c>
      <c r="D762" s="36">
        <v>0.438778174930111</v>
      </c>
      <c r="E762" s="36">
        <v>0.438609508982582</v>
      </c>
    </row>
    <row r="763" spans="1:5">
      <c r="A763" s="36" t="s">
        <v>9</v>
      </c>
      <c r="B763" s="36">
        <v>2082</v>
      </c>
      <c r="C763" s="36">
        <v>0.437676017066735</v>
      </c>
      <c r="D763" s="36">
        <v>0.437895682616978</v>
      </c>
      <c r="E763" s="36">
        <v>0.437678299083893</v>
      </c>
    </row>
    <row r="764" spans="1:5">
      <c r="A764" s="36" t="s">
        <v>9</v>
      </c>
      <c r="B764" s="36">
        <v>2083</v>
      </c>
      <c r="C764" s="36">
        <v>0.436774138105761</v>
      </c>
      <c r="D764" s="36">
        <v>0.437030787416711</v>
      </c>
      <c r="E764" s="36">
        <v>0.436776311498085</v>
      </c>
    </row>
    <row r="765" spans="1:5">
      <c r="A765" s="36" t="s">
        <v>9</v>
      </c>
      <c r="B765" s="36">
        <v>2084</v>
      </c>
      <c r="C765" s="36">
        <v>0.435899825332912</v>
      </c>
      <c r="D765" s="36">
        <v>0.436179185638231</v>
      </c>
      <c r="E765" s="36">
        <v>0.435895378157246</v>
      </c>
    </row>
    <row r="766" spans="1:5">
      <c r="A766" s="36" t="s">
        <v>9</v>
      </c>
      <c r="B766" s="36">
        <v>2085</v>
      </c>
      <c r="C766" s="36">
        <v>0.435050565953559</v>
      </c>
      <c r="D766" s="36">
        <v>0.435336914297546</v>
      </c>
      <c r="E766" s="36">
        <v>0.435027956024058</v>
      </c>
    </row>
    <row r="767" spans="1:5">
      <c r="A767" s="36" t="s">
        <v>9</v>
      </c>
      <c r="B767" s="36">
        <v>2086</v>
      </c>
      <c r="C767" s="36">
        <v>0.434224262026379</v>
      </c>
      <c r="D767" s="36">
        <v>0.434501795332182</v>
      </c>
      <c r="E767" s="36">
        <v>0.434169279291553</v>
      </c>
    </row>
    <row r="768" spans="1:5">
      <c r="A768" s="36" t="s">
        <v>9</v>
      </c>
      <c r="B768" s="36">
        <v>2087</v>
      </c>
      <c r="C768" s="36">
        <v>0.433420013446871</v>
      </c>
      <c r="D768" s="36">
        <v>0.433677456993202</v>
      </c>
      <c r="E768" s="36">
        <v>0.433323331939919</v>
      </c>
    </row>
    <row r="769" spans="1:5">
      <c r="A769" s="36" t="s">
        <v>9</v>
      </c>
      <c r="B769" s="36">
        <v>2088</v>
      </c>
      <c r="C769" s="36">
        <v>0.432637209843123</v>
      </c>
      <c r="D769" s="36">
        <v>0.432868602524328</v>
      </c>
      <c r="E769" s="36">
        <v>0.432495777019451</v>
      </c>
    </row>
    <row r="770" spans="1:5">
      <c r="A770" s="36" t="s">
        <v>9</v>
      </c>
      <c r="B770" s="36">
        <v>2089</v>
      </c>
      <c r="C770" s="36">
        <v>0.431875247040222</v>
      </c>
      <c r="D770" s="36">
        <v>0.432079505013815</v>
      </c>
      <c r="E770" s="36">
        <v>0.431691718324992</v>
      </c>
    </row>
    <row r="771" spans="1:5">
      <c r="A771" s="36" t="s">
        <v>9</v>
      </c>
      <c r="B771" s="36">
        <v>2090</v>
      </c>
      <c r="C771" s="36">
        <v>0.431133530634241</v>
      </c>
      <c r="D771" s="36">
        <v>0.431313997983254</v>
      </c>
      <c r="E771" s="36">
        <v>0.430915693637988</v>
      </c>
    </row>
    <row r="772" spans="1:5">
      <c r="A772" s="36" t="s">
        <v>9</v>
      </c>
      <c r="B772" s="36">
        <v>2091</v>
      </c>
      <c r="C772" s="36">
        <v>0.430411325802222</v>
      </c>
      <c r="D772" s="36">
        <v>0.430574363163497</v>
      </c>
      <c r="E772" s="36">
        <v>0.430170495486772</v>
      </c>
    </row>
    <row r="773" spans="1:5">
      <c r="A773" s="36" t="s">
        <v>9</v>
      </c>
      <c r="B773" s="36">
        <v>2092</v>
      </c>
      <c r="C773" s="36">
        <v>0.429707332664728</v>
      </c>
      <c r="D773" s="36">
        <v>0.429858239018162</v>
      </c>
      <c r="E773" s="36">
        <v>0.429453891704144</v>
      </c>
    </row>
    <row r="774" spans="1:5">
      <c r="A774" s="36" t="s">
        <v>9</v>
      </c>
      <c r="B774" s="36">
        <v>2093</v>
      </c>
      <c r="C774" s="36">
        <v>0.42902020508393</v>
      </c>
      <c r="D774" s="36">
        <v>0.429162380337517</v>
      </c>
      <c r="E774" s="36">
        <v>0.428762655418568</v>
      </c>
    </row>
    <row r="775" spans="1:5">
      <c r="A775" s="36" t="s">
        <v>9</v>
      </c>
      <c r="B775" s="36">
        <v>2094</v>
      </c>
      <c r="C775" s="36">
        <v>0.428348713431286</v>
      </c>
      <c r="D775" s="36">
        <v>0.428483830277241</v>
      </c>
      <c r="E775" s="36">
        <v>0.428093815830835</v>
      </c>
    </row>
    <row r="776" spans="1:5">
      <c r="A776" s="36" t="s">
        <v>9</v>
      </c>
      <c r="B776" s="36">
        <v>2095</v>
      </c>
      <c r="C776" s="36">
        <v>0.427691745370559</v>
      </c>
      <c r="D776" s="36">
        <v>0.427819920056355</v>
      </c>
      <c r="E776" s="36">
        <v>0.427444655097073</v>
      </c>
    </row>
    <row r="777" spans="1:5">
      <c r="A777" s="36" t="s">
        <v>9</v>
      </c>
      <c r="B777" s="36">
        <v>2096</v>
      </c>
      <c r="C777" s="36">
        <v>0.427048306126392</v>
      </c>
      <c r="D777" s="36">
        <v>0.42716826909414</v>
      </c>
      <c r="E777" s="36">
        <v>0.426812705154509</v>
      </c>
    </row>
    <row r="778" spans="1:5">
      <c r="A778" s="36" t="s">
        <v>9</v>
      </c>
      <c r="B778" s="36">
        <v>2097</v>
      </c>
      <c r="C778" s="36">
        <v>0.426417518274728</v>
      </c>
      <c r="D778" s="36">
        <v>0.426526785638809</v>
      </c>
      <c r="E778" s="36">
        <v>0.426195744727279</v>
      </c>
    </row>
    <row r="779" spans="1:5">
      <c r="A779" s="36" t="s">
        <v>9</v>
      </c>
      <c r="B779" s="36">
        <v>2098</v>
      </c>
      <c r="C779" s="36">
        <v>0.425798621069033</v>
      </c>
      <c r="D779" s="36">
        <v>0.425893667804512</v>
      </c>
      <c r="E779" s="36">
        <v>0.42559179662729</v>
      </c>
    </row>
    <row r="780" spans="1:5">
      <c r="A780" s="36" t="s">
        <v>9</v>
      </c>
      <c r="B780" s="36">
        <v>2099</v>
      </c>
      <c r="C780" s="36">
        <v>0.425190969297428</v>
      </c>
      <c r="D780" s="36">
        <v>0.425267404813801</v>
      </c>
      <c r="E780" s="36">
        <v>0.424999125361359</v>
      </c>
    </row>
    <row r="781" spans="1:5">
      <c r="A781" s="36" t="s">
        <v>9</v>
      </c>
      <c r="B781" s="36">
        <v>2100</v>
      </c>
      <c r="C781" s="36">
        <v>0.424594031650231</v>
      </c>
      <c r="D781" s="36">
        <v>0.4246467781382</v>
      </c>
      <c r="E781" s="36">
        <v>0.424416234967532</v>
      </c>
    </row>
    <row r="782" spans="1:5">
      <c r="A782" s="36" t="s">
        <v>5</v>
      </c>
      <c r="B782" s="36">
        <v>2023</v>
      </c>
      <c r="C782" s="36">
        <v>0.333413810287563</v>
      </c>
      <c r="D782" s="36">
        <v>0.336944158995951</v>
      </c>
      <c r="E782" s="36">
        <v>0.335519873229476</v>
      </c>
    </row>
    <row r="783" spans="1:5">
      <c r="A783" s="36" t="s">
        <v>5</v>
      </c>
      <c r="B783" s="36">
        <v>2024</v>
      </c>
      <c r="C783" s="36">
        <v>0.333195169684299</v>
      </c>
      <c r="D783" s="36">
        <v>0.335879294587927</v>
      </c>
      <c r="E783" s="36">
        <v>0.335453964745142</v>
      </c>
    </row>
    <row r="784" spans="1:5">
      <c r="A784" s="36" t="s">
        <v>5</v>
      </c>
      <c r="B784" s="36">
        <v>2025</v>
      </c>
      <c r="C784" s="36">
        <v>0.333073415296393</v>
      </c>
      <c r="D784" s="36">
        <v>0.335124241302829</v>
      </c>
      <c r="E784" s="36">
        <v>0.335552381525848</v>
      </c>
    </row>
    <row r="785" spans="1:5">
      <c r="A785" s="36" t="s">
        <v>5</v>
      </c>
      <c r="B785" s="36">
        <v>2026</v>
      </c>
      <c r="C785" s="36">
        <v>0.333040121872895</v>
      </c>
      <c r="D785" s="36">
        <v>0.334790528086119</v>
      </c>
      <c r="E785" s="36">
        <v>0.335737428549856</v>
      </c>
    </row>
    <row r="786" spans="1:5">
      <c r="A786" s="36" t="s">
        <v>5</v>
      </c>
      <c r="B786" s="36">
        <v>2027</v>
      </c>
      <c r="C786" s="36">
        <v>0.333144891651539</v>
      </c>
      <c r="D786" s="36">
        <v>0.334850775643913</v>
      </c>
      <c r="E786" s="36">
        <v>0.336112145142658</v>
      </c>
    </row>
    <row r="787" spans="1:5">
      <c r="A787" s="36" t="s">
        <v>5</v>
      </c>
      <c r="B787" s="36">
        <v>2028</v>
      </c>
      <c r="C787" s="36">
        <v>0.333352160272755</v>
      </c>
      <c r="D787" s="36">
        <v>0.335167837611806</v>
      </c>
      <c r="E787" s="36">
        <v>0.336595182361838</v>
      </c>
    </row>
    <row r="788" spans="1:5">
      <c r="A788" s="36" t="s">
        <v>5</v>
      </c>
      <c r="B788" s="36">
        <v>2029</v>
      </c>
      <c r="C788" s="36">
        <v>0.333626557444509</v>
      </c>
      <c r="D788" s="36">
        <v>0.335606591805373</v>
      </c>
      <c r="E788" s="36">
        <v>0.337103384245628</v>
      </c>
    </row>
    <row r="789" spans="1:5">
      <c r="A789" s="36" t="s">
        <v>5</v>
      </c>
      <c r="B789" s="36">
        <v>2030</v>
      </c>
      <c r="C789" s="36">
        <v>0.333932300722584</v>
      </c>
      <c r="D789" s="36">
        <v>0.336029258127197</v>
      </c>
      <c r="E789" s="36">
        <v>0.337550924378463</v>
      </c>
    </row>
    <row r="790" spans="1:5">
      <c r="A790" s="36" t="s">
        <v>5</v>
      </c>
      <c r="B790" s="36">
        <v>2031</v>
      </c>
      <c r="C790" s="36">
        <v>0.33422296938461</v>
      </c>
      <c r="D790" s="36">
        <v>0.33631256992206</v>
      </c>
      <c r="E790" s="36">
        <v>0.337838543445748</v>
      </c>
    </row>
    <row r="791" spans="1:5">
      <c r="A791" s="36" t="s">
        <v>5</v>
      </c>
      <c r="B791" s="36">
        <v>2032</v>
      </c>
      <c r="C791" s="36">
        <v>0.33451558917271</v>
      </c>
      <c r="D791" s="36">
        <v>0.336482221363219</v>
      </c>
      <c r="E791" s="36">
        <v>0.338046477828434</v>
      </c>
    </row>
    <row r="792" spans="1:5">
      <c r="A792" s="36" t="s">
        <v>5</v>
      </c>
      <c r="B792" s="36">
        <v>2033</v>
      </c>
      <c r="C792" s="36">
        <v>0.334818001299792</v>
      </c>
      <c r="D792" s="36">
        <v>0.336583733866887</v>
      </c>
      <c r="E792" s="36">
        <v>0.33824645833517</v>
      </c>
    </row>
    <row r="793" spans="1:5">
      <c r="A793" s="36" t="s">
        <v>5</v>
      </c>
      <c r="B793" s="36">
        <v>2034</v>
      </c>
      <c r="C793" s="36">
        <v>0.335138222524397</v>
      </c>
      <c r="D793" s="36">
        <v>0.336663326745511</v>
      </c>
      <c r="E793" s="36">
        <v>0.338511211897137</v>
      </c>
    </row>
    <row r="794" spans="1:5">
      <c r="A794" s="36" t="s">
        <v>5</v>
      </c>
      <c r="B794" s="36">
        <v>2035</v>
      </c>
      <c r="C794" s="36">
        <v>0.335484460185303</v>
      </c>
      <c r="D794" s="36">
        <v>0.336767561289291</v>
      </c>
      <c r="E794" s="36">
        <v>0.338914751776983</v>
      </c>
    </row>
    <row r="795" spans="1:5">
      <c r="A795" s="36" t="s">
        <v>5</v>
      </c>
      <c r="B795" s="36">
        <v>2036</v>
      </c>
      <c r="C795" s="36">
        <v>0.335860905971248</v>
      </c>
      <c r="D795" s="36">
        <v>0.336930922701574</v>
      </c>
      <c r="E795" s="36">
        <v>0.339498293305763</v>
      </c>
    </row>
    <row r="796" spans="1:5">
      <c r="A796" s="36" t="s">
        <v>5</v>
      </c>
      <c r="B796" s="36">
        <v>2037</v>
      </c>
      <c r="C796" s="36">
        <v>0.336261181870489</v>
      </c>
      <c r="D796" s="36">
        <v>0.337136494797452</v>
      </c>
      <c r="E796" s="36">
        <v>0.34020038535298</v>
      </c>
    </row>
    <row r="797" spans="1:5">
      <c r="A797" s="36" t="s">
        <v>5</v>
      </c>
      <c r="B797" s="36">
        <v>2038</v>
      </c>
      <c r="C797" s="36">
        <v>0.336674472305834</v>
      </c>
      <c r="D797" s="36">
        <v>0.337354723254152</v>
      </c>
      <c r="E797" s="36">
        <v>0.340921978283809</v>
      </c>
    </row>
    <row r="798" spans="1:5">
      <c r="A798" s="36" t="s">
        <v>5</v>
      </c>
      <c r="B798" s="36">
        <v>2039</v>
      </c>
      <c r="C798" s="36">
        <v>0.337089657541918</v>
      </c>
      <c r="D798" s="36">
        <v>0.337555664442757</v>
      </c>
      <c r="E798" s="36">
        <v>0.341560192219579</v>
      </c>
    </row>
    <row r="799" spans="1:5">
      <c r="A799" s="36" t="s">
        <v>5</v>
      </c>
      <c r="B799" s="36">
        <v>2040</v>
      </c>
      <c r="C799" s="36">
        <v>0.337495310579517</v>
      </c>
      <c r="D799" s="36">
        <v>0.337709003729338</v>
      </c>
      <c r="E799" s="36">
        <v>0.342009001516633</v>
      </c>
    </row>
    <row r="800" spans="1:5">
      <c r="A800" s="36" t="s">
        <v>5</v>
      </c>
      <c r="B800" s="36">
        <v>2041</v>
      </c>
      <c r="C800" s="36">
        <v>0.337864932472968</v>
      </c>
      <c r="D800" s="36">
        <v>0.337779757349356</v>
      </c>
      <c r="E800" s="36">
        <v>0.342149420198126</v>
      </c>
    </row>
    <row r="801" spans="1:5">
      <c r="A801" s="36" t="s">
        <v>5</v>
      </c>
      <c r="B801" s="36">
        <v>2042</v>
      </c>
      <c r="C801" s="36">
        <v>0.338222772834762</v>
      </c>
      <c r="D801" s="36">
        <v>0.337787965397389</v>
      </c>
      <c r="E801" s="36">
        <v>0.342026269467622</v>
      </c>
    </row>
    <row r="802" spans="1:5">
      <c r="A802" s="36" t="s">
        <v>5</v>
      </c>
      <c r="B802" s="36">
        <v>2043</v>
      </c>
      <c r="C802" s="36">
        <v>0.338578956927533</v>
      </c>
      <c r="D802" s="36">
        <v>0.33774960453459</v>
      </c>
      <c r="E802" s="36">
        <v>0.341675812094709</v>
      </c>
    </row>
    <row r="803" spans="1:5">
      <c r="A803" s="36" t="s">
        <v>5</v>
      </c>
      <c r="B803" s="36">
        <v>2044</v>
      </c>
      <c r="C803" s="36">
        <v>0.338943837931945</v>
      </c>
      <c r="D803" s="36">
        <v>0.337680742255032</v>
      </c>
      <c r="E803" s="36">
        <v>0.34113588710609</v>
      </c>
    </row>
    <row r="804" spans="1:5">
      <c r="A804" s="36" t="s">
        <v>5</v>
      </c>
      <c r="B804" s="36">
        <v>2045</v>
      </c>
      <c r="C804" s="36">
        <v>0.339327994619924</v>
      </c>
      <c r="D804" s="36">
        <v>0.337597440285748</v>
      </c>
      <c r="E804" s="36">
        <v>0.340445044811181</v>
      </c>
    </row>
    <row r="805" spans="1:5">
      <c r="A805" s="36" t="s">
        <v>5</v>
      </c>
      <c r="B805" s="36">
        <v>2046</v>
      </c>
      <c r="C805" s="36">
        <v>0.339742506029369</v>
      </c>
      <c r="D805" s="36">
        <v>0.337524307556328</v>
      </c>
      <c r="E805" s="36">
        <v>0.33965361551414</v>
      </c>
    </row>
    <row r="806" spans="1:5">
      <c r="A806" s="36" t="s">
        <v>5</v>
      </c>
      <c r="B806" s="36">
        <v>2047</v>
      </c>
      <c r="C806" s="36">
        <v>0.340204613921254</v>
      </c>
      <c r="D806" s="36">
        <v>0.337518927164187</v>
      </c>
      <c r="E806" s="36">
        <v>0.338870329356477</v>
      </c>
    </row>
    <row r="807" spans="1:5">
      <c r="A807" s="36" t="s">
        <v>5</v>
      </c>
      <c r="B807" s="36">
        <v>2048</v>
      </c>
      <c r="C807" s="36">
        <v>0.340732310663089</v>
      </c>
      <c r="D807" s="36">
        <v>0.337647633890708</v>
      </c>
      <c r="E807" s="36">
        <v>0.338210908169714</v>
      </c>
    </row>
    <row r="808" spans="1:5">
      <c r="A808" s="36" t="s">
        <v>5</v>
      </c>
      <c r="B808" s="36">
        <v>2049</v>
      </c>
      <c r="C808" s="36">
        <v>0.341344177771501</v>
      </c>
      <c r="D808" s="36">
        <v>0.337977940678241</v>
      </c>
      <c r="E808" s="36">
        <v>0.337786790170301</v>
      </c>
    </row>
    <row r="809" spans="1:5">
      <c r="A809" s="36" t="s">
        <v>5</v>
      </c>
      <c r="B809" s="36">
        <v>2050</v>
      </c>
      <c r="C809" s="36">
        <v>0.342059512632181</v>
      </c>
      <c r="D809" s="36">
        <v>0.338580254753044</v>
      </c>
      <c r="E809" s="36">
        <v>0.337708115904838</v>
      </c>
    </row>
    <row r="810" spans="1:5">
      <c r="A810" s="36" t="s">
        <v>5</v>
      </c>
      <c r="B810" s="36">
        <v>2051</v>
      </c>
      <c r="C810" s="36">
        <v>0.342879522868544</v>
      </c>
      <c r="D810" s="36">
        <v>0.339488534903361</v>
      </c>
      <c r="E810" s="36">
        <v>0.338023658803774</v>
      </c>
    </row>
    <row r="811" spans="1:5">
      <c r="A811" s="36" t="s">
        <v>5</v>
      </c>
      <c r="B811" s="36">
        <v>2052</v>
      </c>
      <c r="C811" s="36">
        <v>0.343808402475208</v>
      </c>
      <c r="D811" s="36">
        <v>0.340662157449461</v>
      </c>
      <c r="E811" s="36">
        <v>0.338746878149321</v>
      </c>
    </row>
    <row r="812" spans="1:5">
      <c r="A812" s="36" t="s">
        <v>5</v>
      </c>
      <c r="B812" s="36">
        <v>2053</v>
      </c>
      <c r="C812" s="36">
        <v>0.34483124267737</v>
      </c>
      <c r="D812" s="36">
        <v>0.342016567522139</v>
      </c>
      <c r="E812" s="36">
        <v>0.339831856143199</v>
      </c>
    </row>
    <row r="813" spans="1:5">
      <c r="A813" s="36" t="s">
        <v>5</v>
      </c>
      <c r="B813" s="36">
        <v>2054</v>
      </c>
      <c r="C813" s="36">
        <v>0.345932389901122</v>
      </c>
      <c r="D813" s="36">
        <v>0.34346136782011</v>
      </c>
      <c r="E813" s="36">
        <v>0.341234424294504</v>
      </c>
    </row>
    <row r="814" spans="1:5">
      <c r="A814" s="36" t="s">
        <v>5</v>
      </c>
      <c r="B814" s="36">
        <v>2055</v>
      </c>
      <c r="C814" s="36">
        <v>0.347095325811932</v>
      </c>
      <c r="D814" s="36">
        <v>0.344899392523687</v>
      </c>
      <c r="E814" s="36">
        <v>0.342908979153685</v>
      </c>
    </row>
    <row r="815" spans="1:5">
      <c r="A815" s="36" t="s">
        <v>5</v>
      </c>
      <c r="B815" s="36">
        <v>2056</v>
      </c>
      <c r="C815" s="36">
        <v>0.348302414403376</v>
      </c>
      <c r="D815" s="36">
        <v>0.346251146166289</v>
      </c>
      <c r="E815" s="36">
        <v>0.344792658651414</v>
      </c>
    </row>
    <row r="816" spans="1:5">
      <c r="A816" s="36" t="s">
        <v>5</v>
      </c>
      <c r="B816" s="36">
        <v>2057</v>
      </c>
      <c r="C816" s="36">
        <v>0.349534296695442</v>
      </c>
      <c r="D816" s="36">
        <v>0.347530323838184</v>
      </c>
      <c r="E816" s="36">
        <v>0.346761506295188</v>
      </c>
    </row>
    <row r="817" spans="1:5">
      <c r="A817" s="36" t="s">
        <v>5</v>
      </c>
      <c r="B817" s="36">
        <v>2058</v>
      </c>
      <c r="C817" s="36">
        <v>0.350770537501607</v>
      </c>
      <c r="D817" s="36">
        <v>0.348776625752739</v>
      </c>
      <c r="E817" s="36">
        <v>0.348666789258311</v>
      </c>
    </row>
    <row r="818" spans="1:5">
      <c r="A818" s="36" t="s">
        <v>5</v>
      </c>
      <c r="B818" s="36">
        <v>2059</v>
      </c>
      <c r="C818" s="36">
        <v>0.351989948984405</v>
      </c>
      <c r="D818" s="36">
        <v>0.350031927831421</v>
      </c>
      <c r="E818" s="36">
        <v>0.350350355937925</v>
      </c>
    </row>
    <row r="819" spans="1:5">
      <c r="A819" s="36" t="s">
        <v>5</v>
      </c>
      <c r="B819" s="36">
        <v>2060</v>
      </c>
      <c r="C819" s="36">
        <v>0.353170754242731</v>
      </c>
      <c r="D819" s="36">
        <v>0.351339879697602</v>
      </c>
      <c r="E819" s="36">
        <v>0.351648790028226</v>
      </c>
    </row>
    <row r="820" spans="1:5">
      <c r="A820" s="36" t="s">
        <v>5</v>
      </c>
      <c r="B820" s="36">
        <v>2061</v>
      </c>
      <c r="C820" s="36">
        <v>0.354301068173022</v>
      </c>
      <c r="D820" s="36">
        <v>0.352734690880855</v>
      </c>
      <c r="E820" s="36">
        <v>0.35245687990421</v>
      </c>
    </row>
    <row r="821" spans="1:5">
      <c r="A821" s="36" t="s">
        <v>5</v>
      </c>
      <c r="B821" s="36">
        <v>2062</v>
      </c>
      <c r="C821" s="36">
        <v>0.3554104060704</v>
      </c>
      <c r="D821" s="36">
        <v>0.354207344087637</v>
      </c>
      <c r="E821" s="36">
        <v>0.352909455160453</v>
      </c>
    </row>
    <row r="822" spans="1:5">
      <c r="A822" s="36" t="s">
        <v>5</v>
      </c>
      <c r="B822" s="36">
        <v>2063</v>
      </c>
      <c r="C822" s="36">
        <v>0.356539500360356</v>
      </c>
      <c r="D822" s="36">
        <v>0.355737036108357</v>
      </c>
      <c r="E822" s="36">
        <v>0.353205760796644</v>
      </c>
    </row>
    <row r="823" spans="1:5">
      <c r="A823" s="36" t="s">
        <v>5</v>
      </c>
      <c r="B823" s="36">
        <v>2064</v>
      </c>
      <c r="C823" s="36">
        <v>0.357729874579195</v>
      </c>
      <c r="D823" s="36">
        <v>0.357302022056953</v>
      </c>
      <c r="E823" s="36">
        <v>0.353547600764889</v>
      </c>
    </row>
    <row r="824" spans="1:5">
      <c r="A824" s="36" t="s">
        <v>5</v>
      </c>
      <c r="B824" s="36">
        <v>2065</v>
      </c>
      <c r="C824" s="36">
        <v>0.359023628913865</v>
      </c>
      <c r="D824" s="36">
        <v>0.358879787392821</v>
      </c>
      <c r="E824" s="36">
        <v>0.354138492135087</v>
      </c>
    </row>
    <row r="825" spans="1:5">
      <c r="A825" s="36" t="s">
        <v>5</v>
      </c>
      <c r="B825" s="36">
        <v>2066</v>
      </c>
      <c r="C825" s="36">
        <v>0.360454193041662</v>
      </c>
      <c r="D825" s="36">
        <v>0.360457555031814</v>
      </c>
      <c r="E825" s="36">
        <v>0.355144764827981</v>
      </c>
    </row>
    <row r="826" spans="1:5">
      <c r="A826" s="36" t="s">
        <v>5</v>
      </c>
      <c r="B826" s="36">
        <v>2067</v>
      </c>
      <c r="C826" s="36">
        <v>0.362018757764181</v>
      </c>
      <c r="D826" s="36">
        <v>0.362063597163904</v>
      </c>
      <c r="E826" s="36">
        <v>0.356575184309936</v>
      </c>
    </row>
    <row r="827" spans="1:5">
      <c r="A827" s="36" t="s">
        <v>5</v>
      </c>
      <c r="B827" s="36">
        <v>2068</v>
      </c>
      <c r="C827" s="36">
        <v>0.363704682279293</v>
      </c>
      <c r="D827" s="36">
        <v>0.363736705564529</v>
      </c>
      <c r="E827" s="36">
        <v>0.358398412063364</v>
      </c>
    </row>
    <row r="828" spans="1:5">
      <c r="A828" s="36" t="s">
        <v>5</v>
      </c>
      <c r="B828" s="36">
        <v>2069</v>
      </c>
      <c r="C828" s="36">
        <v>0.365498374480789</v>
      </c>
      <c r="D828" s="36">
        <v>0.365515496988091</v>
      </c>
      <c r="E828" s="36">
        <v>0.36058097977722</v>
      </c>
    </row>
    <row r="829" spans="1:5">
      <c r="A829" s="36" t="s">
        <v>5</v>
      </c>
      <c r="B829" s="36">
        <v>2070</v>
      </c>
      <c r="C829" s="36">
        <v>0.367385291343885</v>
      </c>
      <c r="D829" s="36">
        <v>0.367437798393808</v>
      </c>
      <c r="E829" s="36">
        <v>0.363085583873594</v>
      </c>
    </row>
    <row r="830" spans="1:5">
      <c r="A830" s="36" t="s">
        <v>5</v>
      </c>
      <c r="B830" s="36">
        <v>2071</v>
      </c>
      <c r="C830" s="36">
        <v>0.369344163400221</v>
      </c>
      <c r="D830" s="36">
        <v>0.369519976349499</v>
      </c>
      <c r="E830" s="36">
        <v>0.365850685141829</v>
      </c>
    </row>
    <row r="831" spans="1:5">
      <c r="A831" s="36" t="s">
        <v>5</v>
      </c>
      <c r="B831" s="36">
        <v>2072</v>
      </c>
      <c r="C831" s="36">
        <v>0.371329855806447</v>
      </c>
      <c r="D831" s="36">
        <v>0.371697282393348</v>
      </c>
      <c r="E831" s="36">
        <v>0.368733024282752</v>
      </c>
    </row>
    <row r="832" spans="1:5">
      <c r="A832" s="36" t="s">
        <v>5</v>
      </c>
      <c r="B832" s="36">
        <v>2073</v>
      </c>
      <c r="C832" s="36">
        <v>0.373291856524798</v>
      </c>
      <c r="D832" s="36">
        <v>0.373885262344624</v>
      </c>
      <c r="E832" s="36">
        <v>0.371568646593347</v>
      </c>
    </row>
    <row r="833" spans="1:5">
      <c r="A833" s="36" t="s">
        <v>5</v>
      </c>
      <c r="B833" s="36">
        <v>2074</v>
      </c>
      <c r="C833" s="36">
        <v>0.375181040513284</v>
      </c>
      <c r="D833" s="36">
        <v>0.376001553258756</v>
      </c>
      <c r="E833" s="36">
        <v>0.374197838748515</v>
      </c>
    </row>
    <row r="834" spans="1:5">
      <c r="A834" s="36" t="s">
        <v>5</v>
      </c>
      <c r="B834" s="36">
        <v>2075</v>
      </c>
      <c r="C834" s="36">
        <v>0.37695041805306</v>
      </c>
      <c r="D834" s="36">
        <v>0.377967547267671</v>
      </c>
      <c r="E834" s="36">
        <v>0.376469906794385</v>
      </c>
    </row>
    <row r="835" spans="1:5">
      <c r="A835" s="36" t="s">
        <v>5</v>
      </c>
      <c r="B835" s="36">
        <v>2076</v>
      </c>
      <c r="C835" s="36">
        <v>0.378575084030683</v>
      </c>
      <c r="D835" s="36">
        <v>0.379736157614279</v>
      </c>
      <c r="E835" s="36">
        <v>0.378295178444765</v>
      </c>
    </row>
    <row r="836" spans="1:5">
      <c r="A836" s="36" t="s">
        <v>5</v>
      </c>
      <c r="B836" s="36">
        <v>2077</v>
      </c>
      <c r="C836" s="36">
        <v>0.380109067980417</v>
      </c>
      <c r="D836" s="36">
        <v>0.381369431713164</v>
      </c>
      <c r="E836" s="36">
        <v>0.379789646012154</v>
      </c>
    </row>
    <row r="837" spans="1:5">
      <c r="A837" s="36" t="s">
        <v>5</v>
      </c>
      <c r="B837" s="36">
        <v>2078</v>
      </c>
      <c r="C837" s="36">
        <v>0.381623582519353</v>
      </c>
      <c r="D837" s="36">
        <v>0.382953108747061</v>
      </c>
      <c r="E837" s="36">
        <v>0.381114426670103</v>
      </c>
    </row>
    <row r="838" spans="1:5">
      <c r="A838" s="36" t="s">
        <v>5</v>
      </c>
      <c r="B838" s="36">
        <v>2079</v>
      </c>
      <c r="C838" s="36">
        <v>0.383186487116119</v>
      </c>
      <c r="D838" s="36">
        <v>0.384568511341095</v>
      </c>
      <c r="E838" s="36">
        <v>0.382424268179795</v>
      </c>
    </row>
    <row r="839" spans="1:5">
      <c r="A839" s="36" t="s">
        <v>5</v>
      </c>
      <c r="B839" s="36">
        <v>2080</v>
      </c>
      <c r="C839" s="36">
        <v>0.384861337132164</v>
      </c>
      <c r="D839" s="36">
        <v>0.386291467375147</v>
      </c>
      <c r="E839" s="36">
        <v>0.383867001553372</v>
      </c>
    </row>
    <row r="840" spans="1:5">
      <c r="A840" s="36" t="s">
        <v>5</v>
      </c>
      <c r="B840" s="36">
        <v>2081</v>
      </c>
      <c r="C840" s="36">
        <v>0.386686477499522</v>
      </c>
      <c r="D840" s="36">
        <v>0.388166472567765</v>
      </c>
      <c r="E840" s="36">
        <v>0.385548040747059</v>
      </c>
    </row>
    <row r="841" spans="1:5">
      <c r="A841" s="36" t="s">
        <v>5</v>
      </c>
      <c r="B841" s="36">
        <v>2082</v>
      </c>
      <c r="C841" s="36">
        <v>0.388618456124379</v>
      </c>
      <c r="D841" s="36">
        <v>0.390137145617533</v>
      </c>
      <c r="E841" s="36">
        <v>0.38743203971288</v>
      </c>
    </row>
    <row r="842" spans="1:5">
      <c r="A842" s="36" t="s">
        <v>5</v>
      </c>
      <c r="B842" s="36">
        <v>2083</v>
      </c>
      <c r="C842" s="36">
        <v>0.390596367394283</v>
      </c>
      <c r="D842" s="36">
        <v>0.392126913958617</v>
      </c>
      <c r="E842" s="36">
        <v>0.389450131820858</v>
      </c>
    </row>
    <row r="843" spans="1:5">
      <c r="A843" s="36" t="s">
        <v>5</v>
      </c>
      <c r="B843" s="36">
        <v>2084</v>
      </c>
      <c r="C843" s="36">
        <v>0.392563538045335</v>
      </c>
      <c r="D843" s="36">
        <v>0.394066071858838</v>
      </c>
      <c r="E843" s="36">
        <v>0.391536007252243</v>
      </c>
    </row>
    <row r="844" spans="1:5">
      <c r="A844" s="36" t="s">
        <v>5</v>
      </c>
      <c r="B844" s="36">
        <v>2085</v>
      </c>
      <c r="C844" s="36">
        <v>0.39446877075042</v>
      </c>
      <c r="D844" s="36">
        <v>0.395893096260073</v>
      </c>
      <c r="E844" s="36">
        <v>0.393627769944484</v>
      </c>
    </row>
    <row r="845" spans="1:5">
      <c r="A845" s="36" t="s">
        <v>5</v>
      </c>
      <c r="B845" s="36">
        <v>2086</v>
      </c>
      <c r="C845" s="36">
        <v>0.396280920889107</v>
      </c>
      <c r="D845" s="36">
        <v>0.397572135765073</v>
      </c>
      <c r="E845" s="36">
        <v>0.395679095059672</v>
      </c>
    </row>
    <row r="846" spans="1:5">
      <c r="A846" s="36" t="s">
        <v>5</v>
      </c>
      <c r="B846" s="36">
        <v>2087</v>
      </c>
      <c r="C846" s="36">
        <v>0.398026621163631</v>
      </c>
      <c r="D846" s="36">
        <v>0.399139123566908</v>
      </c>
      <c r="E846" s="36">
        <v>0.397685983189464</v>
      </c>
    </row>
    <row r="847" spans="1:5">
      <c r="A847" s="36" t="s">
        <v>5</v>
      </c>
      <c r="B847" s="36">
        <v>2088</v>
      </c>
      <c r="C847" s="36">
        <v>0.399742021171198</v>
      </c>
      <c r="D847" s="36">
        <v>0.400642146500931</v>
      </c>
      <c r="E847" s="36">
        <v>0.399653245139416</v>
      </c>
    </row>
    <row r="848" spans="1:5">
      <c r="A848" s="36" t="s">
        <v>5</v>
      </c>
      <c r="B848" s="36">
        <v>2089</v>
      </c>
      <c r="C848" s="36">
        <v>0.401457676808837</v>
      </c>
      <c r="D848" s="36">
        <v>0.402123217737218</v>
      </c>
      <c r="E848" s="36">
        <v>0.401584142960979</v>
      </c>
    </row>
    <row r="849" spans="1:5">
      <c r="A849" s="36" t="s">
        <v>5</v>
      </c>
      <c r="B849" s="36">
        <v>2090</v>
      </c>
      <c r="C849" s="36">
        <v>0.403198027403365</v>
      </c>
      <c r="D849" s="36">
        <v>0.403618041428814</v>
      </c>
      <c r="E849" s="36">
        <v>0.403480322562411</v>
      </c>
    </row>
    <row r="850" spans="1:5">
      <c r="A850" s="36" t="s">
        <v>5</v>
      </c>
      <c r="B850" s="36">
        <v>2091</v>
      </c>
      <c r="C850" s="36">
        <v>0.404969030425595</v>
      </c>
      <c r="D850" s="36">
        <v>0.405144667369492</v>
      </c>
      <c r="E850" s="36">
        <v>0.405339097046847</v>
      </c>
    </row>
    <row r="851" spans="1:5">
      <c r="A851" s="36" t="s">
        <v>5</v>
      </c>
      <c r="B851" s="36">
        <v>2092</v>
      </c>
      <c r="C851" s="36">
        <v>0.40672777380502</v>
      </c>
      <c r="D851" s="36">
        <v>0.406674688070089</v>
      </c>
      <c r="E851" s="36">
        <v>0.407146692466538</v>
      </c>
    </row>
    <row r="852" spans="1:5">
      <c r="A852" s="36" t="s">
        <v>5</v>
      </c>
      <c r="B852" s="36">
        <v>2093</v>
      </c>
      <c r="C852" s="36">
        <v>0.408427197501132</v>
      </c>
      <c r="D852" s="36">
        <v>0.408173185412734</v>
      </c>
      <c r="E852" s="36">
        <v>0.408888711388088</v>
      </c>
    </row>
    <row r="853" spans="1:5">
      <c r="A853" s="36" t="s">
        <v>5</v>
      </c>
      <c r="B853" s="36">
        <v>2094</v>
      </c>
      <c r="C853" s="36">
        <v>0.410029695808111</v>
      </c>
      <c r="D853" s="36">
        <v>0.409611045573399</v>
      </c>
      <c r="E853" s="36">
        <v>0.41055330564197</v>
      </c>
    </row>
    <row r="854" spans="1:5">
      <c r="A854" s="36" t="s">
        <v>5</v>
      </c>
      <c r="B854" s="36">
        <v>2095</v>
      </c>
      <c r="C854" s="36">
        <v>0.411506971493764</v>
      </c>
      <c r="D854" s="36">
        <v>0.410965057873205</v>
      </c>
      <c r="E854" s="36">
        <v>0.412131238994382</v>
      </c>
    </row>
    <row r="855" spans="1:5">
      <c r="A855" s="36" t="s">
        <v>5</v>
      </c>
      <c r="B855" s="36">
        <v>2096</v>
      </c>
      <c r="C855" s="36">
        <v>0.41283919204883</v>
      </c>
      <c r="D855" s="36">
        <v>0.412217638242513</v>
      </c>
      <c r="E855" s="36">
        <v>0.41361584566347</v>
      </c>
    </row>
    <row r="856" spans="1:5">
      <c r="A856" s="36" t="s">
        <v>5</v>
      </c>
      <c r="B856" s="36">
        <v>2097</v>
      </c>
      <c r="C856" s="36">
        <v>0.414013619144428</v>
      </c>
      <c r="D856" s="36">
        <v>0.413356240979064</v>
      </c>
      <c r="E856" s="36">
        <v>0.415002896542106</v>
      </c>
    </row>
    <row r="857" spans="1:5">
      <c r="A857" s="36" t="s">
        <v>5</v>
      </c>
      <c r="B857" s="36">
        <v>2098</v>
      </c>
      <c r="C857" s="36">
        <v>0.415022904875344</v>
      </c>
      <c r="D857" s="36">
        <v>0.414372541540114</v>
      </c>
      <c r="E857" s="36">
        <v>0.416290390647168</v>
      </c>
    </row>
    <row r="858" spans="1:5">
      <c r="A858" s="36" t="s">
        <v>5</v>
      </c>
      <c r="B858" s="36">
        <v>2099</v>
      </c>
      <c r="C858" s="36">
        <v>0.415863226974658</v>
      </c>
      <c r="D858" s="36">
        <v>0.415261475591569</v>
      </c>
      <c r="E858" s="36">
        <v>0.417478292477461</v>
      </c>
    </row>
    <row r="859" spans="1:5">
      <c r="A859" s="36" t="s">
        <v>5</v>
      </c>
      <c r="B859" s="36">
        <v>2100</v>
      </c>
      <c r="C859" s="36">
        <v>0.416532382649829</v>
      </c>
      <c r="D859" s="36">
        <v>0.416020207703389</v>
      </c>
      <c r="E859" s="36">
        <v>0.418568236680766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3"/>
  <sheetViews>
    <sheetView workbookViewId="0">
      <selection activeCell="C2" sqref="C2"/>
    </sheetView>
  </sheetViews>
  <sheetFormatPr defaultColWidth="9.23076923076923" defaultRowHeight="17.6" outlineLevelCol="4"/>
  <cols>
    <col min="1" max="2" width="13.0576923076923" style="22" customWidth="1"/>
    <col min="3" max="3" width="17.3653846153846" style="23" customWidth="1"/>
    <col min="4" max="4" width="22.0769230769231" style="22" customWidth="1"/>
    <col min="5" max="5" width="15.75" style="24" customWidth="1"/>
  </cols>
  <sheetData>
    <row r="1" ht="33" customHeight="1" spans="1:5">
      <c r="A1" s="25" t="s">
        <v>0</v>
      </c>
      <c r="B1" s="25" t="s">
        <v>1</v>
      </c>
      <c r="C1" s="26" t="s">
        <v>18</v>
      </c>
      <c r="D1" s="27"/>
      <c r="E1" s="32"/>
    </row>
    <row r="2" ht="71" spans="1:5">
      <c r="A2" s="28"/>
      <c r="B2" s="28"/>
      <c r="C2" s="29" t="s">
        <v>19</v>
      </c>
      <c r="D2" s="28" t="s">
        <v>20</v>
      </c>
      <c r="E2" s="33" t="s">
        <v>21</v>
      </c>
    </row>
    <row r="3" spans="1:5">
      <c r="A3" s="22" t="s">
        <v>3</v>
      </c>
      <c r="B3" s="22">
        <v>2012</v>
      </c>
      <c r="C3" s="30">
        <v>1378</v>
      </c>
      <c r="D3" s="31">
        <v>9043</v>
      </c>
      <c r="E3" s="34">
        <v>2374.83670396146</v>
      </c>
    </row>
    <row r="4" spans="1:5">
      <c r="A4" s="22" t="s">
        <v>3</v>
      </c>
      <c r="B4" s="22">
        <v>2013</v>
      </c>
      <c r="C4" s="30">
        <v>1410</v>
      </c>
      <c r="D4" s="31">
        <v>9945.4</v>
      </c>
      <c r="E4" s="34">
        <v>2488.70656127041</v>
      </c>
    </row>
    <row r="5" spans="1:5">
      <c r="A5" s="22" t="s">
        <v>3</v>
      </c>
      <c r="B5" s="22">
        <v>2014</v>
      </c>
      <c r="C5" s="30">
        <v>1429</v>
      </c>
      <c r="D5" s="31">
        <v>10640.6</v>
      </c>
      <c r="E5" s="34">
        <v>2568.23271699929</v>
      </c>
    </row>
    <row r="6" spans="1:5">
      <c r="A6" s="22" t="s">
        <v>3</v>
      </c>
      <c r="B6" s="22">
        <v>2015</v>
      </c>
      <c r="C6" s="30">
        <v>1439</v>
      </c>
      <c r="D6" s="31">
        <v>10879.5</v>
      </c>
      <c r="E6" s="34">
        <v>2659.37813234923</v>
      </c>
    </row>
    <row r="7" spans="1:5">
      <c r="A7" s="22" t="s">
        <v>3</v>
      </c>
      <c r="B7" s="22">
        <v>2016</v>
      </c>
      <c r="C7" s="30">
        <v>1443</v>
      </c>
      <c r="D7" s="31">
        <v>11477.2</v>
      </c>
      <c r="E7" s="34">
        <v>2751.7923933885</v>
      </c>
    </row>
    <row r="8" spans="1:5">
      <c r="A8" s="22" t="s">
        <v>3</v>
      </c>
      <c r="B8" s="22">
        <v>2017</v>
      </c>
      <c r="C8" s="30">
        <v>1410</v>
      </c>
      <c r="D8" s="31">
        <v>12450.6</v>
      </c>
      <c r="E8" s="34">
        <v>2852.1132882572</v>
      </c>
    </row>
    <row r="9" spans="1:5">
      <c r="A9" s="22" t="s">
        <v>3</v>
      </c>
      <c r="B9" s="22">
        <v>2018</v>
      </c>
      <c r="C9" s="30">
        <v>1383</v>
      </c>
      <c r="D9" s="31">
        <v>13362.9</v>
      </c>
      <c r="E9" s="34">
        <v>2942.0955950586</v>
      </c>
    </row>
    <row r="10" spans="1:5">
      <c r="A10" s="22" t="s">
        <v>3</v>
      </c>
      <c r="B10" s="22">
        <v>2019</v>
      </c>
      <c r="C10" s="30">
        <v>1385</v>
      </c>
      <c r="D10" s="31">
        <v>14055.5</v>
      </c>
      <c r="E10" s="34">
        <v>2978.02674502849</v>
      </c>
    </row>
    <row r="11" spans="1:5">
      <c r="A11" s="22" t="s">
        <v>3</v>
      </c>
      <c r="B11" s="22">
        <v>2020</v>
      </c>
      <c r="C11" s="30">
        <v>1387</v>
      </c>
      <c r="D11" s="31">
        <v>14008</v>
      </c>
      <c r="E11" s="34">
        <v>3010.46509115732</v>
      </c>
    </row>
    <row r="12" spans="1:5">
      <c r="A12" s="22" t="s">
        <v>3</v>
      </c>
      <c r="B12" s="22">
        <v>2021</v>
      </c>
      <c r="C12" s="30">
        <v>1373</v>
      </c>
      <c r="D12" s="31">
        <v>15685.1</v>
      </c>
      <c r="E12" s="34">
        <v>3030.84731632029</v>
      </c>
    </row>
    <row r="13" spans="1:5">
      <c r="A13" s="22" t="s">
        <v>3</v>
      </c>
      <c r="B13" s="22">
        <v>2022</v>
      </c>
      <c r="C13" s="30">
        <v>1363</v>
      </c>
      <c r="D13" s="31">
        <v>16132.2</v>
      </c>
      <c r="E13" s="24">
        <f>E12*(1+F13)</f>
        <v>3030.84731632029</v>
      </c>
    </row>
    <row r="14" spans="1:5">
      <c r="A14" s="22" t="s">
        <v>4</v>
      </c>
      <c r="B14" s="22">
        <v>2012</v>
      </c>
      <c r="C14" s="30">
        <v>7262</v>
      </c>
      <c r="D14" s="31">
        <v>23077.5</v>
      </c>
      <c r="E14" s="34">
        <v>14578.3615316972</v>
      </c>
    </row>
    <row r="15" spans="1:5">
      <c r="A15" s="22" t="s">
        <v>4</v>
      </c>
      <c r="B15" s="22">
        <v>2013</v>
      </c>
      <c r="C15" s="30">
        <v>7288</v>
      </c>
      <c r="D15" s="31">
        <v>24259.6</v>
      </c>
      <c r="E15" s="34">
        <v>15125.3936479737</v>
      </c>
    </row>
    <row r="16" spans="1:5">
      <c r="A16" s="22" t="s">
        <v>4</v>
      </c>
      <c r="B16" s="22">
        <v>2014</v>
      </c>
      <c r="C16" s="30">
        <v>7323</v>
      </c>
      <c r="D16" s="31">
        <v>25208.9</v>
      </c>
      <c r="E16" s="34">
        <v>15551.1192607667</v>
      </c>
    </row>
    <row r="17" spans="1:5">
      <c r="A17" s="22" t="s">
        <v>4</v>
      </c>
      <c r="B17" s="22">
        <v>2015</v>
      </c>
      <c r="C17" s="30">
        <v>7345</v>
      </c>
      <c r="D17" s="31">
        <v>26398.4</v>
      </c>
      <c r="E17" s="34">
        <v>16062.7173387827</v>
      </c>
    </row>
    <row r="18" spans="1:5">
      <c r="A18" s="22" t="s">
        <v>4</v>
      </c>
      <c r="B18" s="22">
        <v>2016</v>
      </c>
      <c r="C18" s="30">
        <v>7375</v>
      </c>
      <c r="D18" s="31">
        <v>28474.1</v>
      </c>
      <c r="E18" s="34">
        <v>16574.5954839321</v>
      </c>
    </row>
    <row r="19" spans="1:5">
      <c r="A19" s="22" t="s">
        <v>4</v>
      </c>
      <c r="B19" s="22">
        <v>2017</v>
      </c>
      <c r="C19" s="30">
        <v>7409</v>
      </c>
      <c r="D19" s="31">
        <v>30640.8</v>
      </c>
      <c r="E19" s="34">
        <v>17157.0179646339</v>
      </c>
    </row>
    <row r="20" spans="1:5">
      <c r="A20" s="22" t="s">
        <v>4</v>
      </c>
      <c r="B20" s="22">
        <v>2018</v>
      </c>
      <c r="C20" s="30">
        <v>7426</v>
      </c>
      <c r="D20" s="31">
        <v>32494.6</v>
      </c>
      <c r="E20" s="34">
        <v>17737.9215664018</v>
      </c>
    </row>
    <row r="21" spans="1:5">
      <c r="A21" s="22" t="s">
        <v>4</v>
      </c>
      <c r="B21" s="22">
        <v>2019</v>
      </c>
      <c r="C21" s="30">
        <v>7447</v>
      </c>
      <c r="D21" s="31">
        <v>34978.6</v>
      </c>
      <c r="E21" s="34">
        <v>18020.3637245643</v>
      </c>
    </row>
    <row r="22" spans="1:5">
      <c r="A22" s="22" t="s">
        <v>4</v>
      </c>
      <c r="B22" s="22">
        <v>2020</v>
      </c>
      <c r="C22" s="30">
        <v>7464</v>
      </c>
      <c r="D22" s="31">
        <v>36013.8</v>
      </c>
      <c r="E22" s="34">
        <v>18352.3618209248</v>
      </c>
    </row>
    <row r="23" spans="1:5">
      <c r="A23" s="22" t="s">
        <v>4</v>
      </c>
      <c r="B23" s="22">
        <v>2021</v>
      </c>
      <c r="C23" s="30">
        <v>7448</v>
      </c>
      <c r="D23" s="31">
        <v>40397.1</v>
      </c>
      <c r="E23" s="34">
        <v>18569.361163423</v>
      </c>
    </row>
    <row r="24" spans="1:5">
      <c r="A24" s="22" t="s">
        <v>4</v>
      </c>
      <c r="B24" s="22">
        <v>2022</v>
      </c>
      <c r="C24" s="30">
        <v>7420</v>
      </c>
      <c r="D24" s="31">
        <v>41988</v>
      </c>
      <c r="E24" s="24">
        <f>E23*(1+F24)</f>
        <v>18569.361163423</v>
      </c>
    </row>
    <row r="25" spans="1:5">
      <c r="A25" s="22" t="s">
        <v>5</v>
      </c>
      <c r="B25" s="22">
        <v>2012</v>
      </c>
      <c r="C25" s="30">
        <v>4375</v>
      </c>
      <c r="D25" s="31">
        <v>17848.6</v>
      </c>
      <c r="E25" s="34">
        <v>8055.95953150779</v>
      </c>
    </row>
    <row r="26" spans="1:5">
      <c r="A26" s="22" t="s">
        <v>5</v>
      </c>
      <c r="B26" s="22">
        <v>2013</v>
      </c>
      <c r="C26" s="30">
        <v>4365</v>
      </c>
      <c r="D26" s="31">
        <v>19208.8</v>
      </c>
      <c r="E26" s="34">
        <v>8389.93850608482</v>
      </c>
    </row>
    <row r="27" spans="1:5">
      <c r="A27" s="22" t="s">
        <v>5</v>
      </c>
      <c r="B27" s="22">
        <v>2014</v>
      </c>
      <c r="C27" s="30">
        <v>4358</v>
      </c>
      <c r="D27" s="31">
        <v>20025.7</v>
      </c>
      <c r="E27" s="34">
        <v>8619.27291510802</v>
      </c>
    </row>
    <row r="28" spans="1:5">
      <c r="A28" s="22" t="s">
        <v>5</v>
      </c>
      <c r="B28" s="22">
        <v>2015</v>
      </c>
      <c r="C28" s="30">
        <v>4338</v>
      </c>
      <c r="D28" s="31">
        <v>20210.3</v>
      </c>
      <c r="E28" s="34">
        <v>8872.19389844849</v>
      </c>
    </row>
    <row r="29" spans="1:5">
      <c r="A29" s="22" t="s">
        <v>5</v>
      </c>
      <c r="B29" s="22">
        <v>2016</v>
      </c>
      <c r="C29" s="30">
        <v>4327</v>
      </c>
      <c r="D29" s="31">
        <v>20392.5</v>
      </c>
      <c r="E29" s="34">
        <v>9105.4350829565</v>
      </c>
    </row>
    <row r="30" spans="1:5">
      <c r="A30" s="22" t="s">
        <v>5</v>
      </c>
      <c r="B30" s="22">
        <v>2017</v>
      </c>
      <c r="C30" s="30">
        <v>4312</v>
      </c>
      <c r="D30" s="31">
        <v>21693</v>
      </c>
      <c r="E30" s="34">
        <v>9383.2241818722</v>
      </c>
    </row>
    <row r="31" spans="1:5">
      <c r="A31" s="22" t="s">
        <v>5</v>
      </c>
      <c r="B31" s="22">
        <v>2018</v>
      </c>
      <c r="C31" s="30">
        <v>4291</v>
      </c>
      <c r="D31" s="31">
        <v>23510.5</v>
      </c>
      <c r="E31" s="34">
        <v>9683.86416800455</v>
      </c>
    </row>
    <row r="32" spans="1:5">
      <c r="A32" s="22" t="s">
        <v>5</v>
      </c>
      <c r="B32" s="22">
        <v>2019</v>
      </c>
      <c r="C32" s="30">
        <v>4277</v>
      </c>
      <c r="D32" s="31">
        <v>24855.3</v>
      </c>
      <c r="E32" s="34">
        <v>9814.18482137637</v>
      </c>
    </row>
    <row r="33" spans="1:5">
      <c r="A33" s="22" t="s">
        <v>5</v>
      </c>
      <c r="B33" s="22">
        <v>2020</v>
      </c>
      <c r="C33" s="30">
        <v>4255</v>
      </c>
      <c r="D33" s="31">
        <v>25011.4</v>
      </c>
      <c r="E33" s="34">
        <v>9934.17950841835</v>
      </c>
    </row>
    <row r="34" spans="1:5">
      <c r="A34" s="22" t="s">
        <v>5</v>
      </c>
      <c r="B34" s="22">
        <v>2021</v>
      </c>
      <c r="C34" s="30">
        <v>4229</v>
      </c>
      <c r="D34" s="31">
        <v>27569.5</v>
      </c>
      <c r="E34" s="34">
        <v>10039.3739815019</v>
      </c>
    </row>
    <row r="35" spans="1:5">
      <c r="A35" s="22" t="s">
        <v>5</v>
      </c>
      <c r="B35" s="22">
        <v>2022</v>
      </c>
      <c r="C35" s="30">
        <v>4197</v>
      </c>
      <c r="D35" s="31">
        <v>28826.1</v>
      </c>
      <c r="E35" s="24">
        <f>E34*(1+F35)</f>
        <v>10039.3739815019</v>
      </c>
    </row>
    <row r="36" spans="1:5">
      <c r="A36" s="22" t="s">
        <v>6</v>
      </c>
      <c r="B36" s="22">
        <v>2012</v>
      </c>
      <c r="C36" s="30">
        <v>2399</v>
      </c>
      <c r="D36" s="31">
        <v>21305.6</v>
      </c>
      <c r="E36" s="34">
        <v>2656.01413372372</v>
      </c>
    </row>
    <row r="37" spans="1:5">
      <c r="A37" s="22" t="s">
        <v>6</v>
      </c>
      <c r="B37" s="22">
        <v>2013</v>
      </c>
      <c r="C37" s="30">
        <v>2448</v>
      </c>
      <c r="D37" s="31">
        <v>23204.1</v>
      </c>
      <c r="E37" s="34">
        <v>2739.4281755927</v>
      </c>
    </row>
    <row r="38" spans="1:5">
      <c r="A38" s="22" t="s">
        <v>6</v>
      </c>
      <c r="B38" s="22">
        <v>2014</v>
      </c>
      <c r="C38" s="30">
        <v>2467</v>
      </c>
      <c r="D38" s="31">
        <v>25269.8</v>
      </c>
      <c r="E38" s="34">
        <v>2795.69392321929</v>
      </c>
    </row>
    <row r="39" spans="1:5">
      <c r="A39" s="22" t="s">
        <v>6</v>
      </c>
      <c r="B39" s="22">
        <v>2015</v>
      </c>
      <c r="C39" s="30">
        <v>2458</v>
      </c>
      <c r="D39" s="31">
        <v>26887</v>
      </c>
      <c r="E39" s="34">
        <v>2860.71993399097</v>
      </c>
    </row>
    <row r="40" spans="1:5">
      <c r="A40" s="22" t="s">
        <v>6</v>
      </c>
      <c r="B40" s="22">
        <v>2016</v>
      </c>
      <c r="C40" s="30">
        <v>2467</v>
      </c>
      <c r="D40" s="31">
        <v>29887</v>
      </c>
      <c r="E40" s="34">
        <v>2923.05821526735</v>
      </c>
    </row>
    <row r="41" spans="1:5">
      <c r="A41" s="22" t="s">
        <v>6</v>
      </c>
      <c r="B41" s="22">
        <v>2017</v>
      </c>
      <c r="C41" s="30">
        <v>2466</v>
      </c>
      <c r="D41" s="31">
        <v>32925</v>
      </c>
      <c r="E41" s="34">
        <v>3003.79681089493</v>
      </c>
    </row>
    <row r="42" spans="1:5">
      <c r="A42" s="22" t="s">
        <v>6</v>
      </c>
      <c r="B42" s="22">
        <v>2018</v>
      </c>
      <c r="C42" s="30">
        <v>2475</v>
      </c>
      <c r="D42" s="31">
        <v>36011.8</v>
      </c>
      <c r="E42" s="34">
        <v>3079.81326309902</v>
      </c>
    </row>
    <row r="43" spans="1:5">
      <c r="A43" s="22" t="s">
        <v>6</v>
      </c>
      <c r="B43" s="22">
        <v>2019</v>
      </c>
      <c r="C43" s="30">
        <v>2481</v>
      </c>
      <c r="D43" s="31">
        <v>37987.6</v>
      </c>
      <c r="E43" s="34">
        <v>3099.92939448022</v>
      </c>
    </row>
    <row r="44" spans="1:5">
      <c r="A44" s="22" t="s">
        <v>6</v>
      </c>
      <c r="B44" s="22">
        <v>2020</v>
      </c>
      <c r="C44" s="30">
        <v>2488</v>
      </c>
      <c r="D44" s="31">
        <v>38963.3</v>
      </c>
      <c r="E44" s="34">
        <v>3117.29100617299</v>
      </c>
    </row>
    <row r="45" spans="1:5">
      <c r="A45" s="22" t="s">
        <v>6</v>
      </c>
      <c r="B45" s="22">
        <v>2021</v>
      </c>
      <c r="C45" s="30">
        <v>2489</v>
      </c>
      <c r="D45" s="31">
        <v>43653.2</v>
      </c>
      <c r="E45" s="34">
        <v>3128.26379042791</v>
      </c>
    </row>
    <row r="46" spans="1:5">
      <c r="A46" s="22" t="s">
        <v>6</v>
      </c>
      <c r="B46" s="22">
        <v>2022</v>
      </c>
      <c r="C46" s="30">
        <v>2475</v>
      </c>
      <c r="D46" s="31">
        <v>44809.1</v>
      </c>
      <c r="E46" s="24">
        <f>E45*(1+F46)</f>
        <v>3128.26379042791</v>
      </c>
    </row>
    <row r="47" spans="1:5">
      <c r="A47" s="22" t="s">
        <v>7</v>
      </c>
      <c r="B47" s="22">
        <v>2012</v>
      </c>
      <c r="C47" s="30">
        <v>8120</v>
      </c>
      <c r="D47" s="31">
        <v>53701.9</v>
      </c>
      <c r="E47" s="34">
        <v>15445.4119695451</v>
      </c>
    </row>
    <row r="48" spans="1:5">
      <c r="A48" s="22" t="s">
        <v>7</v>
      </c>
      <c r="B48" s="22">
        <v>2013</v>
      </c>
      <c r="C48" s="30">
        <v>8192</v>
      </c>
      <c r="D48" s="31">
        <v>59349.4</v>
      </c>
      <c r="E48" s="34">
        <v>16228.2716452811</v>
      </c>
    </row>
    <row r="49" spans="1:5">
      <c r="A49" s="22" t="s">
        <v>7</v>
      </c>
      <c r="B49" s="22">
        <v>2014</v>
      </c>
      <c r="C49" s="30">
        <v>8281</v>
      </c>
      <c r="D49" s="31">
        <v>64830.5</v>
      </c>
      <c r="E49" s="34">
        <v>16780.2480349899</v>
      </c>
    </row>
    <row r="50" spans="1:5">
      <c r="A50" s="22" t="s">
        <v>7</v>
      </c>
      <c r="B50" s="22">
        <v>2015</v>
      </c>
      <c r="C50" s="30">
        <v>8315</v>
      </c>
      <c r="D50" s="31">
        <v>71255.9</v>
      </c>
      <c r="E50" s="34">
        <v>17402.938736554</v>
      </c>
    </row>
    <row r="51" spans="1:5">
      <c r="A51" s="22" t="s">
        <v>7</v>
      </c>
      <c r="B51" s="22">
        <v>2016</v>
      </c>
      <c r="C51" s="30">
        <v>8381</v>
      </c>
      <c r="D51" s="31">
        <v>77350.9</v>
      </c>
      <c r="E51" s="34">
        <v>17980.3366815772</v>
      </c>
    </row>
    <row r="52" spans="1:5">
      <c r="A52" s="22" t="s">
        <v>7</v>
      </c>
      <c r="B52" s="22">
        <v>2017</v>
      </c>
      <c r="C52" s="30">
        <v>8423</v>
      </c>
      <c r="D52" s="31">
        <v>85869.8</v>
      </c>
      <c r="E52" s="34">
        <v>18717.7997010349</v>
      </c>
    </row>
    <row r="53" spans="1:5">
      <c r="A53" s="22" t="s">
        <v>7</v>
      </c>
      <c r="B53" s="22">
        <v>2018</v>
      </c>
      <c r="C53" s="30">
        <v>8446</v>
      </c>
      <c r="D53" s="31">
        <v>93207.6</v>
      </c>
      <c r="E53" s="34">
        <v>19522.0822979886</v>
      </c>
    </row>
    <row r="54" spans="1:5">
      <c r="A54" s="22" t="s">
        <v>7</v>
      </c>
      <c r="B54" s="22">
        <v>2019</v>
      </c>
      <c r="C54" s="30">
        <v>8469</v>
      </c>
      <c r="D54" s="31">
        <v>98656.8</v>
      </c>
      <c r="E54" s="34">
        <v>19834.9221486166</v>
      </c>
    </row>
    <row r="55" spans="1:5">
      <c r="A55" s="22" t="s">
        <v>7</v>
      </c>
      <c r="B55" s="22">
        <v>2020</v>
      </c>
      <c r="C55" s="30">
        <v>8477</v>
      </c>
      <c r="D55" s="31">
        <v>102807.7</v>
      </c>
      <c r="E55" s="34">
        <v>20114.2535810357</v>
      </c>
    </row>
    <row r="56" spans="1:5">
      <c r="A56" s="22" t="s">
        <v>7</v>
      </c>
      <c r="B56" s="22">
        <v>2021</v>
      </c>
      <c r="C56" s="30">
        <v>8505</v>
      </c>
      <c r="D56" s="31">
        <v>117392.4</v>
      </c>
      <c r="E56" s="34">
        <v>20276.2987736541</v>
      </c>
    </row>
    <row r="57" spans="1:5">
      <c r="A57" s="22" t="s">
        <v>7</v>
      </c>
      <c r="B57" s="22">
        <v>2022</v>
      </c>
      <c r="C57" s="30">
        <v>8515</v>
      </c>
      <c r="D57" s="31">
        <v>122089.3</v>
      </c>
      <c r="E57" s="24">
        <f>E56*(1+F57)</f>
        <v>20276.2987736541</v>
      </c>
    </row>
    <row r="58" spans="1:5">
      <c r="A58" s="22" t="s">
        <v>17</v>
      </c>
      <c r="B58" s="22">
        <v>2012</v>
      </c>
      <c r="C58" s="30">
        <v>5685</v>
      </c>
      <c r="D58" s="31">
        <v>34382.4</v>
      </c>
      <c r="E58" s="34">
        <v>8816.58533845044</v>
      </c>
    </row>
    <row r="59" spans="1:5">
      <c r="A59" s="22" t="s">
        <v>17</v>
      </c>
      <c r="B59" s="22">
        <v>2013</v>
      </c>
      <c r="C59" s="30">
        <v>5784</v>
      </c>
      <c r="D59" s="31">
        <v>37334.6</v>
      </c>
      <c r="E59" s="34">
        <v>9235.75757046985</v>
      </c>
    </row>
    <row r="60" spans="1:5">
      <c r="A60" s="22" t="s">
        <v>17</v>
      </c>
      <c r="B60" s="22">
        <v>2014</v>
      </c>
      <c r="C60" s="30">
        <v>5890</v>
      </c>
      <c r="D60" s="31">
        <v>40023.5</v>
      </c>
      <c r="E60" s="34">
        <v>9545.33016532569</v>
      </c>
    </row>
    <row r="61" spans="1:5">
      <c r="A61" s="22" t="s">
        <v>17</v>
      </c>
      <c r="B61" s="22">
        <v>2015</v>
      </c>
      <c r="C61" s="30">
        <v>5985</v>
      </c>
      <c r="D61" s="31">
        <v>43507.7</v>
      </c>
      <c r="E61" s="34">
        <v>9902.72696003392</v>
      </c>
    </row>
    <row r="62" spans="1:5">
      <c r="A62" s="22" t="s">
        <v>17</v>
      </c>
      <c r="B62" s="22">
        <v>2016</v>
      </c>
      <c r="C62" s="30">
        <v>6072</v>
      </c>
      <c r="D62" s="31">
        <v>47254</v>
      </c>
      <c r="E62" s="34">
        <v>10240.9804485574</v>
      </c>
    </row>
    <row r="63" spans="1:5">
      <c r="A63" s="22" t="s">
        <v>17</v>
      </c>
      <c r="B63" s="22">
        <v>2017</v>
      </c>
      <c r="C63" s="30">
        <v>6170</v>
      </c>
      <c r="D63" s="31">
        <v>52403.1</v>
      </c>
      <c r="E63" s="34">
        <v>10632.1108107523</v>
      </c>
    </row>
    <row r="64" spans="1:5">
      <c r="A64" s="22" t="s">
        <v>17</v>
      </c>
      <c r="B64" s="22">
        <v>2018</v>
      </c>
      <c r="C64" s="30">
        <v>6273</v>
      </c>
      <c r="D64" s="31">
        <v>58002.8</v>
      </c>
      <c r="E64" s="34">
        <v>11040.6678856707</v>
      </c>
    </row>
    <row r="65" spans="1:5">
      <c r="A65" s="22" t="s">
        <v>17</v>
      </c>
      <c r="B65" s="22">
        <v>2019</v>
      </c>
      <c r="C65" s="30">
        <v>6375</v>
      </c>
      <c r="D65" s="31">
        <v>62462</v>
      </c>
      <c r="E65" s="34">
        <v>11192.0217792939</v>
      </c>
    </row>
    <row r="66" spans="1:5">
      <c r="A66" s="22" t="s">
        <v>17</v>
      </c>
      <c r="B66" s="22">
        <v>2020</v>
      </c>
      <c r="C66" s="30">
        <v>6468</v>
      </c>
      <c r="D66" s="31">
        <v>64689.1</v>
      </c>
      <c r="E66" s="34">
        <v>11344.0225279348</v>
      </c>
    </row>
    <row r="67" spans="1:5">
      <c r="A67" s="22" t="s">
        <v>17</v>
      </c>
      <c r="B67" s="22">
        <v>2021</v>
      </c>
      <c r="C67" s="30">
        <v>6540</v>
      </c>
      <c r="D67" s="31">
        <v>74040.8</v>
      </c>
      <c r="E67" s="34">
        <v>11420.3874434305</v>
      </c>
    </row>
    <row r="68" spans="1:5">
      <c r="A68" s="22" t="s">
        <v>17</v>
      </c>
      <c r="B68" s="22">
        <v>2022</v>
      </c>
      <c r="C68" s="30">
        <v>6577</v>
      </c>
      <c r="D68" s="31">
        <v>78060.6</v>
      </c>
      <c r="E68" s="24">
        <f>E67*(1+F68)</f>
        <v>11420.3874434305</v>
      </c>
    </row>
    <row r="69" spans="1:5">
      <c r="A69" s="22" t="s">
        <v>9</v>
      </c>
      <c r="B69" s="22">
        <v>2012</v>
      </c>
      <c r="C69" s="30">
        <v>3841</v>
      </c>
      <c r="D69" s="31">
        <v>20190.7</v>
      </c>
      <c r="E69" s="34">
        <v>5227.11017852709</v>
      </c>
    </row>
    <row r="70" spans="1:5">
      <c r="A70" s="22" t="s">
        <v>9</v>
      </c>
      <c r="B70" s="22">
        <v>2013</v>
      </c>
      <c r="C70" s="30">
        <v>3885</v>
      </c>
      <c r="D70" s="31">
        <v>22503.8</v>
      </c>
      <c r="E70" s="34">
        <v>5467.41188564946</v>
      </c>
    </row>
    <row r="71" spans="1:5">
      <c r="A71" s="22" t="s">
        <v>9</v>
      </c>
      <c r="B71" s="22">
        <v>2014</v>
      </c>
      <c r="C71" s="30">
        <v>3945</v>
      </c>
      <c r="D71" s="31">
        <v>24942.1</v>
      </c>
      <c r="E71" s="34">
        <v>5668.06490196093</v>
      </c>
    </row>
    <row r="72" spans="1:5">
      <c r="A72" s="22" t="s">
        <v>9</v>
      </c>
      <c r="B72" s="22">
        <v>2015</v>
      </c>
      <c r="C72" s="30">
        <v>3984</v>
      </c>
      <c r="D72" s="31">
        <v>26819.5</v>
      </c>
      <c r="E72" s="34">
        <v>5881.82600135599</v>
      </c>
    </row>
    <row r="73" spans="1:5">
      <c r="A73" s="22" t="s">
        <v>9</v>
      </c>
      <c r="B73" s="22">
        <v>2016</v>
      </c>
      <c r="C73" s="30">
        <v>4016</v>
      </c>
      <c r="D73" s="31">
        <v>29609.4</v>
      </c>
      <c r="E73" s="34">
        <v>6059.47264926805</v>
      </c>
    </row>
    <row r="74" spans="1:5">
      <c r="A74" s="22" t="s">
        <v>9</v>
      </c>
      <c r="B74" s="22">
        <v>2017</v>
      </c>
      <c r="C74" s="30">
        <v>4065</v>
      </c>
      <c r="D74" s="31">
        <v>33842.4</v>
      </c>
      <c r="E74" s="34">
        <v>6271.93115202699</v>
      </c>
    </row>
    <row r="75" spans="1:5">
      <c r="A75" s="22" t="s">
        <v>9</v>
      </c>
      <c r="B75" s="22">
        <v>2018</v>
      </c>
      <c r="C75" s="30">
        <v>4104</v>
      </c>
      <c r="D75" s="31">
        <v>38687.8</v>
      </c>
      <c r="E75" s="34">
        <v>6472.47789963886</v>
      </c>
    </row>
    <row r="76" spans="1:5">
      <c r="A76" s="22" t="s">
        <v>9</v>
      </c>
      <c r="B76" s="22">
        <v>2019</v>
      </c>
      <c r="C76" s="30">
        <v>4137</v>
      </c>
      <c r="D76" s="31">
        <v>42326.6</v>
      </c>
      <c r="E76" s="34">
        <v>6566.5772230107</v>
      </c>
    </row>
    <row r="77" spans="1:5">
      <c r="A77" s="22" t="s">
        <v>9</v>
      </c>
      <c r="B77" s="22">
        <v>2020</v>
      </c>
      <c r="C77" s="30">
        <v>4161</v>
      </c>
      <c r="D77" s="31">
        <v>43608.6</v>
      </c>
      <c r="E77" s="34">
        <v>6665.91188997009</v>
      </c>
    </row>
    <row r="78" spans="1:5">
      <c r="A78" s="22" t="s">
        <v>9</v>
      </c>
      <c r="B78" s="22">
        <v>2021</v>
      </c>
      <c r="C78" s="30">
        <v>4187</v>
      </c>
      <c r="D78" s="31">
        <v>49566.1</v>
      </c>
      <c r="E78" s="34">
        <v>6707.52172132831</v>
      </c>
    </row>
    <row r="79" spans="1:5">
      <c r="A79" s="22" t="s">
        <v>9</v>
      </c>
      <c r="B79" s="22">
        <v>2022</v>
      </c>
      <c r="C79" s="30">
        <v>4188</v>
      </c>
      <c r="D79" s="31">
        <v>51765.1</v>
      </c>
      <c r="E79" s="24">
        <f>E78*(1+F79)</f>
        <v>6707.52172132831</v>
      </c>
    </row>
    <row r="80" spans="1:5">
      <c r="A80" s="22" t="s">
        <v>10</v>
      </c>
      <c r="B80" s="22">
        <v>2012</v>
      </c>
      <c r="C80" s="30">
        <v>9708</v>
      </c>
      <c r="D80" s="31">
        <v>42957.3</v>
      </c>
      <c r="E80" s="34">
        <v>20630.7914282531</v>
      </c>
    </row>
    <row r="81" spans="1:5">
      <c r="A81" s="22" t="s">
        <v>10</v>
      </c>
      <c r="B81" s="22">
        <v>2013</v>
      </c>
      <c r="C81" s="30">
        <v>9746</v>
      </c>
      <c r="D81" s="31">
        <v>47344.3</v>
      </c>
      <c r="E81" s="34">
        <v>21417.2504381523</v>
      </c>
    </row>
    <row r="82" spans="1:5">
      <c r="A82" s="22" t="s">
        <v>10</v>
      </c>
      <c r="B82" s="22">
        <v>2014</v>
      </c>
      <c r="C82" s="30">
        <v>9808</v>
      </c>
      <c r="D82" s="31">
        <v>50774.8</v>
      </c>
      <c r="E82" s="34">
        <v>21978.3487441689</v>
      </c>
    </row>
    <row r="83" spans="1:5">
      <c r="A83" s="22" t="s">
        <v>10</v>
      </c>
      <c r="B83" s="22">
        <v>2015</v>
      </c>
      <c r="C83" s="30">
        <v>9866</v>
      </c>
      <c r="D83" s="31">
        <v>55288.8</v>
      </c>
      <c r="E83" s="34">
        <v>22620.5969348739</v>
      </c>
    </row>
    <row r="84" spans="1:5">
      <c r="A84" s="22" t="s">
        <v>10</v>
      </c>
      <c r="B84" s="22">
        <v>2016</v>
      </c>
      <c r="C84" s="30">
        <v>9973</v>
      </c>
      <c r="D84" s="31">
        <v>58762.5</v>
      </c>
      <c r="E84" s="34">
        <v>23245.0507106309</v>
      </c>
    </row>
    <row r="85" spans="1:5">
      <c r="A85" s="22" t="s">
        <v>10</v>
      </c>
      <c r="B85" s="22">
        <v>2017</v>
      </c>
      <c r="C85" s="30">
        <v>10033</v>
      </c>
      <c r="D85" s="31">
        <v>63012.1</v>
      </c>
      <c r="E85" s="34">
        <v>23919.9069188697</v>
      </c>
    </row>
    <row r="86" spans="1:5">
      <c r="A86" s="22" t="s">
        <v>10</v>
      </c>
      <c r="B86" s="22">
        <v>2018</v>
      </c>
      <c r="C86" s="30">
        <v>10077</v>
      </c>
      <c r="D86" s="31">
        <v>66648.9</v>
      </c>
      <c r="E86" s="34">
        <v>24675.905775059</v>
      </c>
    </row>
    <row r="87" spans="1:5">
      <c r="A87" s="22" t="s">
        <v>10</v>
      </c>
      <c r="B87" s="22">
        <v>2019</v>
      </c>
      <c r="C87" s="30">
        <v>10106</v>
      </c>
      <c r="D87" s="31">
        <v>70540.5</v>
      </c>
      <c r="E87" s="34">
        <v>25039.5062656523</v>
      </c>
    </row>
    <row r="88" spans="1:5">
      <c r="A88" s="22" t="s">
        <v>10</v>
      </c>
      <c r="B88" s="22">
        <v>2020</v>
      </c>
      <c r="C88" s="30">
        <v>10165</v>
      </c>
      <c r="D88" s="31">
        <v>72798.2</v>
      </c>
      <c r="E88" s="34">
        <v>25386.2024600657</v>
      </c>
    </row>
    <row r="89" spans="1:5">
      <c r="A89" s="22" t="s">
        <v>10</v>
      </c>
      <c r="B89" s="22">
        <v>2021</v>
      </c>
      <c r="C89" s="30">
        <v>10170</v>
      </c>
      <c r="D89" s="31">
        <v>82875.2</v>
      </c>
      <c r="E89" s="34">
        <v>25631.1132115231</v>
      </c>
    </row>
    <row r="90" spans="1:5">
      <c r="A90" s="22" t="s">
        <v>10</v>
      </c>
      <c r="B90" s="22">
        <v>2022</v>
      </c>
      <c r="C90" s="30">
        <v>10163</v>
      </c>
      <c r="D90" s="31">
        <v>87576.9</v>
      </c>
      <c r="E90" s="24">
        <f>E89*(1+F90)</f>
        <v>25631.1132115231</v>
      </c>
    </row>
    <row r="91" spans="1:5">
      <c r="A91" s="22" t="s">
        <v>11</v>
      </c>
      <c r="B91" s="22">
        <v>2012</v>
      </c>
      <c r="C91" s="30">
        <v>11041</v>
      </c>
      <c r="D91" s="31">
        <v>57007.7</v>
      </c>
      <c r="E91" s="34">
        <v>12840.7193890375</v>
      </c>
    </row>
    <row r="92" spans="1:5">
      <c r="A92" s="22" t="s">
        <v>11</v>
      </c>
      <c r="B92" s="22">
        <v>2013</v>
      </c>
      <c r="C92" s="30">
        <v>11270</v>
      </c>
      <c r="D92" s="31">
        <v>62503.4</v>
      </c>
      <c r="E92" s="34">
        <v>13238.3701106001</v>
      </c>
    </row>
    <row r="93" spans="1:5">
      <c r="A93" s="22" t="s">
        <v>11</v>
      </c>
      <c r="B93" s="22">
        <v>2014</v>
      </c>
      <c r="C93" s="30">
        <v>11489</v>
      </c>
      <c r="D93" s="31">
        <v>68173</v>
      </c>
      <c r="E93" s="34">
        <v>13570.8068540626</v>
      </c>
    </row>
    <row r="94" spans="1:5">
      <c r="A94" s="22" t="s">
        <v>11</v>
      </c>
      <c r="B94" s="22">
        <v>2015</v>
      </c>
      <c r="C94" s="30">
        <v>11678</v>
      </c>
      <c r="D94" s="31">
        <v>74732.4</v>
      </c>
      <c r="E94" s="34">
        <v>13928.9750269145</v>
      </c>
    </row>
    <row r="95" spans="1:5">
      <c r="A95" s="22" t="s">
        <v>11</v>
      </c>
      <c r="B95" s="22">
        <v>2016</v>
      </c>
      <c r="C95" s="30">
        <v>11908</v>
      </c>
      <c r="D95" s="31">
        <v>82163.2</v>
      </c>
      <c r="E95" s="34">
        <v>14286.4778097592</v>
      </c>
    </row>
    <row r="96" spans="1:5">
      <c r="A96" s="22" t="s">
        <v>11</v>
      </c>
      <c r="B96" s="22">
        <v>2017</v>
      </c>
      <c r="C96" s="30">
        <v>12141</v>
      </c>
      <c r="D96" s="31">
        <v>91648.7</v>
      </c>
      <c r="E96" s="34">
        <v>14714.9988442282</v>
      </c>
    </row>
    <row r="97" spans="1:5">
      <c r="A97" s="22" t="s">
        <v>11</v>
      </c>
      <c r="B97" s="22">
        <v>2018</v>
      </c>
      <c r="C97" s="30">
        <v>12348</v>
      </c>
      <c r="D97" s="31">
        <v>99945.2</v>
      </c>
      <c r="E97" s="34">
        <v>15097.3316133871</v>
      </c>
    </row>
    <row r="98" spans="1:5">
      <c r="A98" s="22" t="s">
        <v>11</v>
      </c>
      <c r="B98" s="22">
        <v>2019</v>
      </c>
      <c r="C98" s="30">
        <v>12489</v>
      </c>
      <c r="D98" s="31">
        <v>107986.9</v>
      </c>
      <c r="E98" s="34">
        <v>15306.6004718406</v>
      </c>
    </row>
    <row r="99" spans="1:5">
      <c r="A99" s="22" t="s">
        <v>11</v>
      </c>
      <c r="B99" s="22">
        <v>2020</v>
      </c>
      <c r="C99" s="30">
        <v>12624</v>
      </c>
      <c r="D99" s="31">
        <v>111151.6</v>
      </c>
      <c r="E99" s="34">
        <v>15519.016156212</v>
      </c>
    </row>
    <row r="100" spans="1:5">
      <c r="A100" s="22" t="s">
        <v>11</v>
      </c>
      <c r="B100" s="22">
        <v>2021</v>
      </c>
      <c r="C100" s="30">
        <v>12684</v>
      </c>
      <c r="D100" s="31">
        <v>124719.5</v>
      </c>
      <c r="E100" s="34">
        <v>15616.5414401638</v>
      </c>
    </row>
    <row r="101" spans="1:5">
      <c r="A101" s="22" t="s">
        <v>11</v>
      </c>
      <c r="B101" s="22">
        <v>2022</v>
      </c>
      <c r="C101" s="30">
        <v>12657</v>
      </c>
      <c r="D101" s="31">
        <v>129513.6</v>
      </c>
      <c r="E101" s="24">
        <f>E100*(1+F101)</f>
        <v>15616.5414401638</v>
      </c>
    </row>
    <row r="102" spans="1:5">
      <c r="A102" s="22" t="s">
        <v>12</v>
      </c>
      <c r="B102" s="22">
        <v>2012</v>
      </c>
      <c r="C102" s="30">
        <v>4694</v>
      </c>
      <c r="D102" s="31">
        <v>11303.6</v>
      </c>
      <c r="E102" s="34">
        <v>4959.19690938148</v>
      </c>
    </row>
    <row r="103" spans="1:5">
      <c r="A103" s="22" t="s">
        <v>12</v>
      </c>
      <c r="B103" s="22">
        <v>2013</v>
      </c>
      <c r="C103" s="30">
        <v>4731</v>
      </c>
      <c r="D103" s="31">
        <v>12448.4</v>
      </c>
      <c r="E103" s="34">
        <v>5150.22268256705</v>
      </c>
    </row>
    <row r="104" spans="1:5">
      <c r="A104" s="22" t="s">
        <v>12</v>
      </c>
      <c r="B104" s="22">
        <v>2014</v>
      </c>
      <c r="C104" s="30">
        <v>4770</v>
      </c>
      <c r="D104" s="31">
        <v>13587.8</v>
      </c>
      <c r="E104" s="34">
        <v>5333.35730763703</v>
      </c>
    </row>
    <row r="105" spans="1:5">
      <c r="A105" s="22" t="s">
        <v>12</v>
      </c>
      <c r="B105" s="22">
        <v>2015</v>
      </c>
      <c r="C105" s="30">
        <v>4811</v>
      </c>
      <c r="D105" s="31">
        <v>14797.8</v>
      </c>
      <c r="E105" s="34">
        <v>5522.5432607458</v>
      </c>
    </row>
    <row r="106" spans="1:5">
      <c r="A106" s="22" t="s">
        <v>12</v>
      </c>
      <c r="B106" s="22">
        <v>2016</v>
      </c>
      <c r="C106" s="30">
        <v>4857</v>
      </c>
      <c r="D106" s="31">
        <v>16116.6</v>
      </c>
      <c r="E106" s="34">
        <v>5701.03858895397</v>
      </c>
    </row>
    <row r="107" spans="1:5">
      <c r="A107" s="22" t="s">
        <v>12</v>
      </c>
      <c r="B107" s="22">
        <v>2017</v>
      </c>
      <c r="C107" s="30">
        <v>4907</v>
      </c>
      <c r="D107" s="31">
        <v>17790.7</v>
      </c>
      <c r="E107" s="34">
        <v>5925.1958748633</v>
      </c>
    </row>
    <row r="108" spans="1:5">
      <c r="A108" s="22" t="s">
        <v>12</v>
      </c>
      <c r="B108" s="22">
        <v>2018</v>
      </c>
      <c r="C108" s="30">
        <v>4947</v>
      </c>
      <c r="D108" s="31">
        <v>19627.8</v>
      </c>
      <c r="E108" s="34">
        <v>6141.23336686577</v>
      </c>
    </row>
    <row r="109" spans="1:5">
      <c r="A109" s="22" t="s">
        <v>12</v>
      </c>
      <c r="B109" s="22">
        <v>2019</v>
      </c>
      <c r="C109" s="30">
        <v>4982</v>
      </c>
      <c r="D109" s="31">
        <v>21237.1</v>
      </c>
      <c r="E109" s="34">
        <v>6250.32117535706</v>
      </c>
    </row>
    <row r="110" spans="1:5">
      <c r="A110" s="22" t="s">
        <v>12</v>
      </c>
      <c r="B110" s="22">
        <v>2020</v>
      </c>
      <c r="C110" s="30">
        <v>5019</v>
      </c>
      <c r="D110" s="31">
        <v>22120.9</v>
      </c>
      <c r="E110" s="34">
        <v>6381.93919923872</v>
      </c>
    </row>
    <row r="111" spans="1:5">
      <c r="A111" s="22" t="s">
        <v>12</v>
      </c>
      <c r="B111" s="22">
        <v>2021</v>
      </c>
      <c r="C111" s="30">
        <v>5037</v>
      </c>
      <c r="D111" s="31">
        <v>25209.1</v>
      </c>
      <c r="E111" s="34">
        <v>6450.95498889025</v>
      </c>
    </row>
    <row r="112" spans="1:5">
      <c r="A112" s="22" t="s">
        <v>12</v>
      </c>
      <c r="B112" s="22">
        <v>2022</v>
      </c>
      <c r="C112" s="30">
        <v>5047</v>
      </c>
      <c r="D112" s="31">
        <v>26186.1</v>
      </c>
      <c r="E112" s="24">
        <f>E111*(1+F112)</f>
        <v>6450.95498889025</v>
      </c>
    </row>
    <row r="113" spans="1:5">
      <c r="A113" s="22" t="s">
        <v>13</v>
      </c>
      <c r="B113" s="22">
        <v>2012</v>
      </c>
      <c r="C113" s="30">
        <v>910</v>
      </c>
      <c r="D113" s="31">
        <v>2789.4</v>
      </c>
      <c r="E113" s="34">
        <v>1180.50038480887</v>
      </c>
    </row>
    <row r="114" spans="1:5">
      <c r="A114" s="22" t="s">
        <v>13</v>
      </c>
      <c r="B114" s="22">
        <v>2013</v>
      </c>
      <c r="C114" s="30">
        <v>920</v>
      </c>
      <c r="D114" s="31">
        <v>3115.9</v>
      </c>
      <c r="E114" s="34">
        <v>1255.12177945468</v>
      </c>
    </row>
    <row r="115" spans="1:5">
      <c r="A115" s="22" t="s">
        <v>13</v>
      </c>
      <c r="B115" s="22">
        <v>2014</v>
      </c>
      <c r="C115" s="30">
        <v>936</v>
      </c>
      <c r="D115" s="31">
        <v>3449</v>
      </c>
      <c r="E115" s="34">
        <v>1313.13480690701</v>
      </c>
    </row>
    <row r="116" spans="1:5">
      <c r="A116" s="22" t="s">
        <v>13</v>
      </c>
      <c r="B116" s="22">
        <v>2015</v>
      </c>
      <c r="C116" s="30">
        <v>945</v>
      </c>
      <c r="D116" s="31">
        <v>3734.2</v>
      </c>
      <c r="E116" s="34">
        <v>1404.43051858294</v>
      </c>
    </row>
    <row r="117" spans="1:5">
      <c r="A117" s="22" t="s">
        <v>13</v>
      </c>
      <c r="B117" s="22">
        <v>2016</v>
      </c>
      <c r="C117" s="30">
        <v>957</v>
      </c>
      <c r="D117" s="31">
        <v>4090.2</v>
      </c>
      <c r="E117" s="34">
        <v>1485.26726257658</v>
      </c>
    </row>
    <row r="118" spans="1:5">
      <c r="A118" s="22" t="s">
        <v>13</v>
      </c>
      <c r="B118" s="22">
        <v>2017</v>
      </c>
      <c r="C118" s="30">
        <v>972</v>
      </c>
      <c r="D118" s="31">
        <v>4497.5</v>
      </c>
      <c r="E118" s="34">
        <v>1569.2805903683</v>
      </c>
    </row>
    <row r="119" spans="1:5">
      <c r="A119" s="22" t="s">
        <v>13</v>
      </c>
      <c r="B119" s="22">
        <v>2018</v>
      </c>
      <c r="C119" s="30">
        <v>982</v>
      </c>
      <c r="D119" s="31">
        <v>4910.7</v>
      </c>
      <c r="E119" s="34">
        <v>1646.10115841279</v>
      </c>
    </row>
    <row r="120" spans="1:5">
      <c r="A120" s="22" t="s">
        <v>13</v>
      </c>
      <c r="B120" s="22">
        <v>2019</v>
      </c>
      <c r="C120" s="30">
        <v>995</v>
      </c>
      <c r="D120" s="31">
        <v>5330.8</v>
      </c>
      <c r="E120" s="34">
        <v>1681.86372559614</v>
      </c>
    </row>
    <row r="121" spans="1:5">
      <c r="A121" s="22" t="s">
        <v>13</v>
      </c>
      <c r="B121" s="22">
        <v>2020</v>
      </c>
      <c r="C121" s="30">
        <v>1012</v>
      </c>
      <c r="D121" s="31">
        <v>5566.2</v>
      </c>
      <c r="E121" s="34">
        <v>1711.19111064287</v>
      </c>
    </row>
    <row r="122" spans="1:5">
      <c r="A122" s="22" t="s">
        <v>13</v>
      </c>
      <c r="B122" s="22">
        <v>2021</v>
      </c>
      <c r="C122" s="30">
        <v>1020</v>
      </c>
      <c r="D122" s="31">
        <v>6504.1</v>
      </c>
      <c r="E122" s="34">
        <v>1725.39484533122</v>
      </c>
    </row>
    <row r="123" spans="1:5">
      <c r="A123" s="22" t="s">
        <v>13</v>
      </c>
      <c r="B123" s="22">
        <v>2022</v>
      </c>
      <c r="C123" s="30">
        <v>1027</v>
      </c>
      <c r="D123" s="31">
        <v>6889.6</v>
      </c>
      <c r="E123" s="24">
        <f>E122*(1+F123)</f>
        <v>1725.39484533122</v>
      </c>
    </row>
  </sheetData>
  <mergeCells count="3">
    <mergeCell ref="C1:E1"/>
    <mergeCell ref="A1:A2"/>
    <mergeCell ref="B1:B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60"/>
  <sheetViews>
    <sheetView tabSelected="1" workbookViewId="0">
      <selection activeCell="H4" sqref="H4"/>
    </sheetView>
  </sheetViews>
  <sheetFormatPr defaultColWidth="9.23076923076923" defaultRowHeight="17.6"/>
  <cols>
    <col min="1" max="2" width="13.0576923076923" style="1" customWidth="1"/>
    <col min="3" max="3" width="13.2884615384615" style="2" customWidth="1"/>
    <col min="4" max="4" width="13.2884615384615" style="1" customWidth="1"/>
    <col min="5" max="5" width="14.2596153846154" style="3" customWidth="1"/>
    <col min="6" max="6" width="9.69230769230769" style="1"/>
    <col min="7" max="7" width="15.0673076923077" style="1" customWidth="1"/>
    <col min="8" max="8" width="13.5961538461538" style="4"/>
    <col min="9" max="10" width="9.69230769230769" style="1"/>
    <col min="11" max="11" width="13.7307692307692" style="4" customWidth="1"/>
    <col min="12" max="12" width="60.5673076923077" customWidth="1"/>
  </cols>
  <sheetData>
    <row r="1" ht="26" customHeight="1" spans="1:12">
      <c r="A1" s="5" t="s">
        <v>0</v>
      </c>
      <c r="B1" s="5" t="s">
        <v>1</v>
      </c>
      <c r="C1" s="6" t="s">
        <v>14</v>
      </c>
      <c r="D1" s="7"/>
      <c r="E1" s="12"/>
      <c r="F1" s="7" t="s">
        <v>15</v>
      </c>
      <c r="G1" s="7"/>
      <c r="H1" s="13"/>
      <c r="I1" s="7" t="s">
        <v>16</v>
      </c>
      <c r="J1" s="7"/>
      <c r="K1" s="13"/>
      <c r="L1" s="19" t="s">
        <v>22</v>
      </c>
    </row>
    <row r="2" ht="43" customHeight="1" spans="1:12">
      <c r="A2" s="8"/>
      <c r="B2" s="8"/>
      <c r="C2" s="9" t="s">
        <v>23</v>
      </c>
      <c r="D2" s="8" t="s">
        <v>24</v>
      </c>
      <c r="E2" s="14" t="s">
        <v>25</v>
      </c>
      <c r="F2" s="8" t="s">
        <v>23</v>
      </c>
      <c r="G2" s="8" t="s">
        <v>24</v>
      </c>
      <c r="H2" s="15" t="s">
        <v>25</v>
      </c>
      <c r="I2" s="8" t="s">
        <v>23</v>
      </c>
      <c r="J2" s="8" t="s">
        <v>24</v>
      </c>
      <c r="K2" s="15" t="s">
        <v>25</v>
      </c>
      <c r="L2" s="20"/>
    </row>
    <row r="3" spans="1:12">
      <c r="A3" s="1" t="s">
        <v>3</v>
      </c>
      <c r="B3" s="1">
        <v>2023</v>
      </c>
      <c r="C3" s="10">
        <v>1402.2316</v>
      </c>
      <c r="D3" s="11">
        <v>20588.5816890739</v>
      </c>
      <c r="E3" s="16">
        <v>4478.28</v>
      </c>
      <c r="F3" s="11">
        <v>1423.2062</v>
      </c>
      <c r="G3" s="11">
        <v>20752.780178742</v>
      </c>
      <c r="H3" s="17">
        <v>4344.3</v>
      </c>
      <c r="I3" s="11">
        <v>1419.5484</v>
      </c>
      <c r="J3" s="11">
        <v>20759.0512799745</v>
      </c>
      <c r="K3" s="17">
        <v>4484.74</v>
      </c>
      <c r="L3" s="19" t="s">
        <v>26</v>
      </c>
    </row>
    <row r="4" spans="1:12">
      <c r="A4" s="1" t="s">
        <v>3</v>
      </c>
      <c r="B4" s="1">
        <v>2024</v>
      </c>
      <c r="C4" s="10">
        <v>1406.1705</v>
      </c>
      <c r="D4" s="11">
        <v>21480.0142731343</v>
      </c>
      <c r="E4" s="3">
        <f>(E5+E3)/2</f>
        <v>4667.86</v>
      </c>
      <c r="F4" s="11">
        <v>1428.9652</v>
      </c>
      <c r="G4" s="11">
        <v>21560.7525469155</v>
      </c>
      <c r="H4" s="4">
        <f>(H5+H3)/2</f>
        <v>4495.46</v>
      </c>
      <c r="I4" s="11">
        <v>1427.2498</v>
      </c>
      <c r="J4" s="11">
        <v>21643.5199019238</v>
      </c>
      <c r="K4" s="4">
        <f>(K5+K3)/2</f>
        <v>4683.22</v>
      </c>
      <c r="L4" s="20"/>
    </row>
    <row r="5" spans="1:12">
      <c r="A5" s="1" t="s">
        <v>3</v>
      </c>
      <c r="B5" s="1">
        <v>2025</v>
      </c>
      <c r="C5" s="10">
        <v>1409.6783</v>
      </c>
      <c r="D5" s="11">
        <v>22452.9119830579</v>
      </c>
      <c r="E5" s="16">
        <v>4857.44</v>
      </c>
      <c r="F5" s="11">
        <v>1434.0132</v>
      </c>
      <c r="G5" s="11">
        <v>22466.6283663639</v>
      </c>
      <c r="H5" s="17">
        <v>4646.62</v>
      </c>
      <c r="I5" s="11">
        <v>1434.9909</v>
      </c>
      <c r="J5" s="11">
        <v>22610.2390316097</v>
      </c>
      <c r="K5" s="17">
        <v>4881.7</v>
      </c>
      <c r="L5" s="20"/>
    </row>
    <row r="6" spans="1:12">
      <c r="A6" s="1" t="s">
        <v>3</v>
      </c>
      <c r="B6" s="1">
        <v>2026</v>
      </c>
      <c r="C6" s="10">
        <v>1412.8355</v>
      </c>
      <c r="D6" s="11">
        <v>23500.3222952218</v>
      </c>
      <c r="E6" s="3">
        <f>E5*(1+$L$5)</f>
        <v>4857.44</v>
      </c>
      <c r="F6" s="11">
        <v>1438.4382</v>
      </c>
      <c r="G6" s="11">
        <v>23481.3413716161</v>
      </c>
      <c r="H6" s="4">
        <f>H5*(1+M$5)</f>
        <v>4646.62</v>
      </c>
      <c r="I6" s="11">
        <v>1442.868</v>
      </c>
      <c r="J6" s="11">
        <v>23653.2710214468</v>
      </c>
      <c r="K6" s="4">
        <f>K5*(1+N$5)</f>
        <v>4881.7</v>
      </c>
      <c r="L6" s="20"/>
    </row>
    <row r="7" spans="1:11">
      <c r="A7" s="1" t="s">
        <v>3</v>
      </c>
      <c r="B7" s="1">
        <v>2027</v>
      </c>
      <c r="C7" s="10">
        <v>1415.6787</v>
      </c>
      <c r="D7" s="11">
        <v>24581.3981019837</v>
      </c>
      <c r="E7" s="3">
        <f>E6*(1+$L$5)</f>
        <v>4857.44</v>
      </c>
      <c r="F7" s="11">
        <v>1442.2976</v>
      </c>
      <c r="G7" s="11">
        <v>24560.2943944268</v>
      </c>
      <c r="H7" s="4">
        <f>H6*(1+M$5)</f>
        <v>4646.62</v>
      </c>
      <c r="I7" s="11">
        <v>1450.8187</v>
      </c>
      <c r="J7" s="11">
        <v>24735.8851832756</v>
      </c>
      <c r="K7" s="4">
        <f>K6*(1+N$5)</f>
        <v>4881.7</v>
      </c>
    </row>
    <row r="8" spans="1:11">
      <c r="A8" s="1" t="s">
        <v>3</v>
      </c>
      <c r="B8" s="1">
        <v>2028</v>
      </c>
      <c r="C8" s="10">
        <v>1418.2329</v>
      </c>
      <c r="D8" s="11">
        <v>25646.8186496963</v>
      </c>
      <c r="E8" s="3">
        <f>E7*(1+$L$5)</f>
        <v>4857.44</v>
      </c>
      <c r="F8" s="11">
        <v>1445.6418</v>
      </c>
      <c r="G8" s="11">
        <v>25645.0075408572</v>
      </c>
      <c r="H8" s="4">
        <f>H7*(1+M$5)</f>
        <v>4646.62</v>
      </c>
      <c r="I8" s="11">
        <v>1458.7409</v>
      </c>
      <c r="J8" s="11">
        <v>25813.6525687929</v>
      </c>
      <c r="K8" s="4">
        <f>K7*(1+N$5)</f>
        <v>4881.7</v>
      </c>
    </row>
    <row r="9" spans="1:11">
      <c r="A9" s="1" t="s">
        <v>3</v>
      </c>
      <c r="B9" s="1">
        <v>2029</v>
      </c>
      <c r="C9" s="10">
        <v>1420.5231</v>
      </c>
      <c r="D9" s="11">
        <v>26647.2631847126</v>
      </c>
      <c r="E9" s="3">
        <f>E8*(1+$L$5)</f>
        <v>4857.44</v>
      </c>
      <c r="F9" s="11">
        <v>1448.521</v>
      </c>
      <c r="G9" s="11">
        <v>26677.0009169686</v>
      </c>
      <c r="H9" s="4">
        <f>H8*(1+M$5)</f>
        <v>4646.62</v>
      </c>
      <c r="I9" s="11">
        <v>1466.5321</v>
      </c>
      <c r="J9" s="11">
        <v>26842.1442296959</v>
      </c>
      <c r="K9" s="4">
        <f>K8*(1+N$5)</f>
        <v>4881.7</v>
      </c>
    </row>
    <row r="10" spans="1:11">
      <c r="A10" s="1" t="s">
        <v>3</v>
      </c>
      <c r="B10" s="1">
        <v>2030</v>
      </c>
      <c r="C10" s="10">
        <v>1422.5736</v>
      </c>
      <c r="D10" s="11">
        <v>27533.4109533853</v>
      </c>
      <c r="E10" s="16">
        <v>5240.19</v>
      </c>
      <c r="F10" s="11">
        <v>1450.9856</v>
      </c>
      <c r="G10" s="11">
        <v>27597.794628822</v>
      </c>
      <c r="H10" s="17">
        <v>4946.12</v>
      </c>
      <c r="I10" s="11">
        <v>1474.0888</v>
      </c>
      <c r="J10" s="11">
        <v>27776.9312176814</v>
      </c>
      <c r="K10" s="17">
        <v>5283.15</v>
      </c>
    </row>
    <row r="11" spans="1:11">
      <c r="A11" s="1" t="s">
        <v>3</v>
      </c>
      <c r="B11" s="1">
        <v>2031</v>
      </c>
      <c r="C11" s="10">
        <v>1424.404</v>
      </c>
      <c r="D11" s="11">
        <v>28271.4459189741</v>
      </c>
      <c r="E11" s="3">
        <f t="shared" ref="E11:E14" si="0">E10*(1+$L$10)</f>
        <v>5240.19</v>
      </c>
      <c r="F11" s="11">
        <v>1453.0848</v>
      </c>
      <c r="G11" s="11">
        <v>28366.1806993442</v>
      </c>
      <c r="H11" s="4">
        <f t="shared" ref="H11:H14" si="1">H10*(1+M$10)</f>
        <v>4946.12</v>
      </c>
      <c r="I11" s="11">
        <v>1481.3287</v>
      </c>
      <c r="J11" s="11">
        <v>28586.8601122496</v>
      </c>
      <c r="K11" s="4">
        <f t="shared" ref="K11:K14" si="2">K10*(1+N$10)</f>
        <v>5283.15</v>
      </c>
    </row>
    <row r="12" spans="1:11">
      <c r="A12" s="1" t="s">
        <v>3</v>
      </c>
      <c r="B12" s="1">
        <v>2032</v>
      </c>
      <c r="C12" s="10">
        <v>1426.0146</v>
      </c>
      <c r="D12" s="11">
        <v>28889.5709123661</v>
      </c>
      <c r="E12" s="3">
        <f t="shared" si="0"/>
        <v>5240.19</v>
      </c>
      <c r="F12" s="11">
        <v>1454.8629</v>
      </c>
      <c r="G12" s="11">
        <v>29010.0388189229</v>
      </c>
      <c r="H12" s="4">
        <f t="shared" si="1"/>
        <v>4946.12</v>
      </c>
      <c r="I12" s="11">
        <v>1488.2568</v>
      </c>
      <c r="J12" s="11">
        <v>29293.8796041131</v>
      </c>
      <c r="K12" s="4">
        <f t="shared" si="2"/>
        <v>5283.15</v>
      </c>
    </row>
    <row r="13" spans="1:11">
      <c r="A13" s="1" t="s">
        <v>3</v>
      </c>
      <c r="B13" s="1">
        <v>2033</v>
      </c>
      <c r="C13" s="10">
        <v>1427.4007</v>
      </c>
      <c r="D13" s="11">
        <v>29431.4934813551</v>
      </c>
      <c r="E13" s="3">
        <f t="shared" si="0"/>
        <v>5240.19</v>
      </c>
      <c r="F13" s="11">
        <v>1456.3631</v>
      </c>
      <c r="G13" s="11">
        <v>29574.5205948111</v>
      </c>
      <c r="H13" s="4">
        <f t="shared" si="1"/>
        <v>4946.12</v>
      </c>
      <c r="I13" s="11">
        <v>1494.8997</v>
      </c>
      <c r="J13" s="11">
        <v>29933.2139117876</v>
      </c>
      <c r="K13" s="4">
        <f t="shared" si="2"/>
        <v>5283.15</v>
      </c>
    </row>
    <row r="14" spans="1:11">
      <c r="A14" s="1" t="s">
        <v>3</v>
      </c>
      <c r="B14" s="1">
        <v>2034</v>
      </c>
      <c r="C14" s="10">
        <v>1428.558</v>
      </c>
      <c r="D14" s="11">
        <v>29940.921173735</v>
      </c>
      <c r="E14" s="3">
        <f t="shared" si="0"/>
        <v>5240.19</v>
      </c>
      <c r="F14" s="11">
        <v>1457.6286</v>
      </c>
      <c r="G14" s="11">
        <v>30104.7776342622</v>
      </c>
      <c r="H14" s="4">
        <f t="shared" si="1"/>
        <v>4946.12</v>
      </c>
      <c r="I14" s="11">
        <v>1501.2839</v>
      </c>
      <c r="J14" s="11">
        <v>30540.0872537888</v>
      </c>
      <c r="K14" s="4">
        <f t="shared" si="2"/>
        <v>5283.15</v>
      </c>
    </row>
    <row r="15" spans="1:11">
      <c r="A15" s="1" t="s">
        <v>3</v>
      </c>
      <c r="B15" s="1">
        <v>2035</v>
      </c>
      <c r="C15" s="10">
        <v>1429.4816</v>
      </c>
      <c r="D15" s="11">
        <v>30461.5615372998</v>
      </c>
      <c r="E15" s="18">
        <v>5487.15</v>
      </c>
      <c r="F15" s="11">
        <v>1458.7026</v>
      </c>
      <c r="G15" s="11">
        <v>30645.9615445291</v>
      </c>
      <c r="H15" s="17">
        <v>5150.76</v>
      </c>
      <c r="I15" s="11">
        <v>1507.4358</v>
      </c>
      <c r="J15" s="11">
        <v>31149.7238486326</v>
      </c>
      <c r="K15" s="17">
        <v>5553.32</v>
      </c>
    </row>
    <row r="16" spans="1:11">
      <c r="A16" s="1" t="s">
        <v>3</v>
      </c>
      <c r="B16" s="1">
        <v>2036</v>
      </c>
      <c r="C16" s="10">
        <v>1430.1666</v>
      </c>
      <c r="D16" s="11">
        <v>31025.986253452</v>
      </c>
      <c r="E16" s="3">
        <f t="shared" ref="E16:E19" si="3">E15*(1+$L$15)</f>
        <v>5487.15</v>
      </c>
      <c r="F16" s="11">
        <v>1459.6176</v>
      </c>
      <c r="G16" s="11">
        <v>31232.4439947281</v>
      </c>
      <c r="H16" s="4">
        <f t="shared" ref="H16:H19" si="4">H15*(1+M$15)</f>
        <v>5150.76</v>
      </c>
      <c r="I16" s="11">
        <v>1513.3745</v>
      </c>
      <c r="J16" s="11">
        <v>31789.2945541691</v>
      </c>
      <c r="K16" s="4">
        <f t="shared" ref="K16:K19" si="5">K15*(1+N$15)</f>
        <v>5553.32</v>
      </c>
    </row>
    <row r="17" spans="1:11">
      <c r="A17" s="1" t="s">
        <v>3</v>
      </c>
      <c r="B17" s="1">
        <v>2037</v>
      </c>
      <c r="C17" s="10">
        <v>1430.6058</v>
      </c>
      <c r="D17" s="11">
        <v>31622.2235380297</v>
      </c>
      <c r="E17" s="3">
        <f t="shared" si="3"/>
        <v>5487.15</v>
      </c>
      <c r="F17" s="11">
        <v>1460.3629</v>
      </c>
      <c r="G17" s="11">
        <v>31855.4769014275</v>
      </c>
      <c r="H17" s="4">
        <f t="shared" si="4"/>
        <v>5150.76</v>
      </c>
      <c r="I17" s="11">
        <v>1519.089</v>
      </c>
      <c r="J17" s="11">
        <v>32453.7567855869</v>
      </c>
      <c r="K17" s="4">
        <f t="shared" si="5"/>
        <v>5553.32</v>
      </c>
    </row>
    <row r="18" spans="1:11">
      <c r="A18" s="1" t="s">
        <v>3</v>
      </c>
      <c r="B18" s="1">
        <v>2038</v>
      </c>
      <c r="C18" s="10">
        <v>1430.7917</v>
      </c>
      <c r="D18" s="11">
        <v>32227.1657404794</v>
      </c>
      <c r="E18" s="3">
        <f t="shared" si="3"/>
        <v>5487.15</v>
      </c>
      <c r="F18" s="11">
        <v>1460.917</v>
      </c>
      <c r="G18" s="11">
        <v>32495.5322430585</v>
      </c>
      <c r="H18" s="4">
        <f t="shared" si="4"/>
        <v>5150.76</v>
      </c>
      <c r="I18" s="11">
        <v>1524.561</v>
      </c>
      <c r="J18" s="11">
        <v>33130.0145974089</v>
      </c>
      <c r="K18" s="4">
        <f t="shared" si="5"/>
        <v>5553.32</v>
      </c>
    </row>
    <row r="19" spans="1:11">
      <c r="A19" s="1" t="s">
        <v>3</v>
      </c>
      <c r="B19" s="1">
        <v>2039</v>
      </c>
      <c r="C19" s="10">
        <v>1430.7167</v>
      </c>
      <c r="D19" s="11">
        <v>32817.7052102479</v>
      </c>
      <c r="E19" s="3">
        <f t="shared" si="3"/>
        <v>5487.15</v>
      </c>
      <c r="F19" s="11">
        <v>1461.2582</v>
      </c>
      <c r="G19" s="11">
        <v>33133.0819980525</v>
      </c>
      <c r="H19" s="4">
        <f t="shared" si="4"/>
        <v>5150.76</v>
      </c>
      <c r="I19" s="11">
        <v>1529.7719</v>
      </c>
      <c r="J19" s="11">
        <v>33804.9720441583</v>
      </c>
      <c r="K19" s="4">
        <f t="shared" si="5"/>
        <v>5553.32</v>
      </c>
    </row>
    <row r="20" spans="1:11">
      <c r="A20" s="1" t="s">
        <v>3</v>
      </c>
      <c r="B20" s="1">
        <v>2040</v>
      </c>
      <c r="C20" s="10">
        <v>1430.3733</v>
      </c>
      <c r="D20" s="11">
        <v>33370.7342967819</v>
      </c>
      <c r="E20" s="18">
        <v>5736.23</v>
      </c>
      <c r="F20" s="11">
        <v>1461.3651</v>
      </c>
      <c r="G20" s="11">
        <v>33748.5981448407</v>
      </c>
      <c r="H20" s="17">
        <v>5354.71</v>
      </c>
      <c r="I20" s="11">
        <v>1534.7031</v>
      </c>
      <c r="J20" s="11">
        <v>34465.533180358</v>
      </c>
      <c r="K20" s="17">
        <v>5823.96</v>
      </c>
    </row>
    <row r="21" spans="1:11">
      <c r="A21" s="1" t="s">
        <v>3</v>
      </c>
      <c r="B21" s="1">
        <v>2041</v>
      </c>
      <c r="C21" s="10">
        <v>1429.7549</v>
      </c>
      <c r="D21" s="11">
        <v>33870.4410740018</v>
      </c>
      <c r="E21" s="3">
        <f t="shared" ref="E21:E24" si="6">E20*(1+$L$20)</f>
        <v>5736.23</v>
      </c>
      <c r="F21" s="11">
        <v>1461.2207</v>
      </c>
      <c r="G21" s="11">
        <v>34327.0013505085</v>
      </c>
      <c r="H21" s="4">
        <f t="shared" ref="H21:H24" si="7">H20*(1+M$20)</f>
        <v>5354.71</v>
      </c>
      <c r="I21" s="11">
        <v>1539.3391</v>
      </c>
      <c r="J21" s="11">
        <v>35101.7334720153</v>
      </c>
      <c r="K21" s="4">
        <f t="shared" ref="K21:K24" si="8">K20*(1+N$20)</f>
        <v>5823.96</v>
      </c>
    </row>
    <row r="22" spans="1:11">
      <c r="A22" s="1" t="s">
        <v>3</v>
      </c>
      <c r="B22" s="1">
        <v>2042</v>
      </c>
      <c r="C22" s="10">
        <v>1428.8591</v>
      </c>
      <c r="D22" s="11">
        <v>34330.1965137239</v>
      </c>
      <c r="E22" s="3">
        <f t="shared" si="6"/>
        <v>5736.23</v>
      </c>
      <c r="F22" s="11">
        <v>1460.828</v>
      </c>
      <c r="G22" s="11">
        <v>34871.0070367572</v>
      </c>
      <c r="H22" s="4">
        <f t="shared" si="7"/>
        <v>5354.71</v>
      </c>
      <c r="I22" s="11">
        <v>1543.6785</v>
      </c>
      <c r="J22" s="11">
        <v>35716.1340310741</v>
      </c>
      <c r="K22" s="4">
        <f t="shared" si="8"/>
        <v>5823.96</v>
      </c>
    </row>
    <row r="23" spans="1:11">
      <c r="A23" s="1" t="s">
        <v>3</v>
      </c>
      <c r="B23" s="1">
        <v>2043</v>
      </c>
      <c r="C23" s="10">
        <v>1427.6845</v>
      </c>
      <c r="D23" s="11">
        <v>34770.667312238</v>
      </c>
      <c r="E23" s="3">
        <f t="shared" si="6"/>
        <v>5736.23</v>
      </c>
      <c r="F23" s="11">
        <v>1460.1946</v>
      </c>
      <c r="G23" s="11">
        <v>35387.7793139423</v>
      </c>
      <c r="H23" s="4">
        <f t="shared" si="7"/>
        <v>5354.71</v>
      </c>
      <c r="I23" s="11">
        <v>1547.7229</v>
      </c>
      <c r="J23" s="11">
        <v>36314.4273809627</v>
      </c>
      <c r="K23" s="4">
        <f t="shared" si="8"/>
        <v>5823.96</v>
      </c>
    </row>
    <row r="24" spans="1:11">
      <c r="A24" s="1" t="s">
        <v>3</v>
      </c>
      <c r="B24" s="1">
        <v>2044</v>
      </c>
      <c r="C24" s="10">
        <v>1426.2297</v>
      </c>
      <c r="D24" s="11">
        <v>35212.5201658342</v>
      </c>
      <c r="E24" s="3">
        <f t="shared" si="6"/>
        <v>5736.23</v>
      </c>
      <c r="F24" s="11">
        <v>1459.3283</v>
      </c>
      <c r="G24" s="11">
        <v>35884.4822924191</v>
      </c>
      <c r="H24" s="4">
        <f t="shared" si="7"/>
        <v>5354.71</v>
      </c>
      <c r="I24" s="11">
        <v>1551.4738</v>
      </c>
      <c r="J24" s="11">
        <v>36902.3060451091</v>
      </c>
      <c r="K24" s="4">
        <f t="shared" si="8"/>
        <v>5823.96</v>
      </c>
    </row>
    <row r="25" spans="1:11">
      <c r="A25" s="1" t="s">
        <v>3</v>
      </c>
      <c r="B25" s="1">
        <v>2045</v>
      </c>
      <c r="C25" s="10">
        <v>1424.4932</v>
      </c>
      <c r="D25" s="11">
        <v>35676.4217708024</v>
      </c>
      <c r="E25" s="18">
        <v>5839.24</v>
      </c>
      <c r="F25" s="11">
        <v>1458.2371</v>
      </c>
      <c r="G25" s="11">
        <v>36368.280082543</v>
      </c>
      <c r="H25" s="17">
        <v>5474.17</v>
      </c>
      <c r="I25" s="11">
        <v>1554.9325</v>
      </c>
      <c r="J25" s="11">
        <v>37485.4625469416</v>
      </c>
      <c r="K25" s="17">
        <v>5965.25</v>
      </c>
    </row>
    <row r="26" spans="1:11">
      <c r="A26" s="1" t="s">
        <v>3</v>
      </c>
      <c r="B26" s="1">
        <v>2046</v>
      </c>
      <c r="C26" s="10">
        <v>1422.4738</v>
      </c>
      <c r="D26" s="11">
        <v>36176.8555915685</v>
      </c>
      <c r="E26" s="3">
        <f t="shared" ref="E26:E29" si="9">E25*(1+$L$25)</f>
        <v>5839.24</v>
      </c>
      <c r="F26" s="11">
        <v>1456.9225</v>
      </c>
      <c r="G26" s="11">
        <v>36845.0497996996</v>
      </c>
      <c r="H26" s="4">
        <f t="shared" ref="H26:H29" si="10">H25*(1+M$25)</f>
        <v>5474.17</v>
      </c>
      <c r="I26" s="11">
        <v>1558.1001</v>
      </c>
      <c r="J26" s="11">
        <v>38068.1663704698</v>
      </c>
      <c r="K26" s="4">
        <f t="shared" ref="K26:K29" si="11">K25*(1+N$25)</f>
        <v>5965.25</v>
      </c>
    </row>
    <row r="27" spans="1:11">
      <c r="A27" s="1" t="s">
        <v>3</v>
      </c>
      <c r="B27" s="1">
        <v>2047</v>
      </c>
      <c r="C27" s="10">
        <v>1420.1705</v>
      </c>
      <c r="D27" s="11">
        <v>36703.5721651023</v>
      </c>
      <c r="E27" s="3">
        <f t="shared" si="9"/>
        <v>5839.24</v>
      </c>
      <c r="F27" s="11">
        <v>1455.3601</v>
      </c>
      <c r="G27" s="11">
        <v>37315.5205793949</v>
      </c>
      <c r="H27" s="4">
        <f t="shared" si="10"/>
        <v>5474.17</v>
      </c>
      <c r="I27" s="11">
        <v>1560.9775</v>
      </c>
      <c r="J27" s="11">
        <v>38648.9948420292</v>
      </c>
      <c r="K27" s="4">
        <f t="shared" si="11"/>
        <v>5965.25</v>
      </c>
    </row>
    <row r="28" spans="1:11">
      <c r="A28" s="1" t="s">
        <v>3</v>
      </c>
      <c r="B28" s="1">
        <v>2048</v>
      </c>
      <c r="C28" s="10">
        <v>1417.5829</v>
      </c>
      <c r="D28" s="11">
        <v>37240.1387965093</v>
      </c>
      <c r="E28" s="3">
        <f t="shared" si="9"/>
        <v>5839.24</v>
      </c>
      <c r="F28" s="11">
        <v>1453.5188</v>
      </c>
      <c r="G28" s="11">
        <v>37779.1345621652</v>
      </c>
      <c r="H28" s="4">
        <f t="shared" si="10"/>
        <v>5474.17</v>
      </c>
      <c r="I28" s="11">
        <v>1563.5661</v>
      </c>
      <c r="J28" s="11">
        <v>39225.1022485368</v>
      </c>
      <c r="K28" s="4">
        <f t="shared" si="11"/>
        <v>5965.25</v>
      </c>
    </row>
    <row r="29" spans="1:11">
      <c r="A29" s="1" t="s">
        <v>3</v>
      </c>
      <c r="B29" s="1">
        <v>2049</v>
      </c>
      <c r="C29" s="10">
        <v>1414.7105</v>
      </c>
      <c r="D29" s="11">
        <v>37770.1227908953</v>
      </c>
      <c r="E29" s="3">
        <f t="shared" si="9"/>
        <v>5839.24</v>
      </c>
      <c r="F29" s="11">
        <v>1451.3679</v>
      </c>
      <c r="G29" s="11">
        <v>38235.3338885469</v>
      </c>
      <c r="H29" s="4">
        <f t="shared" si="10"/>
        <v>5474.17</v>
      </c>
      <c r="I29" s="11">
        <v>1565.8675</v>
      </c>
      <c r="J29" s="11">
        <v>39793.6428769096</v>
      </c>
      <c r="K29" s="4">
        <f t="shared" si="11"/>
        <v>5965.25</v>
      </c>
    </row>
    <row r="30" spans="1:11">
      <c r="A30" s="1" t="s">
        <v>3</v>
      </c>
      <c r="B30" s="1">
        <v>2050</v>
      </c>
      <c r="C30" s="10">
        <v>1411.5529</v>
      </c>
      <c r="D30" s="11">
        <v>38277.0914533658</v>
      </c>
      <c r="E30" s="18">
        <v>5942.87</v>
      </c>
      <c r="F30" s="11">
        <v>1448.8763</v>
      </c>
      <c r="G30" s="11">
        <v>38683.560699076</v>
      </c>
      <c r="H30" s="17">
        <v>5589.92</v>
      </c>
      <c r="I30" s="11">
        <v>1567.8842</v>
      </c>
      <c r="J30" s="11">
        <v>40351.7710140645</v>
      </c>
      <c r="K30" s="17">
        <v>6107.2</v>
      </c>
    </row>
    <row r="31" spans="1:11">
      <c r="A31" s="1" t="s">
        <v>3</v>
      </c>
      <c r="B31" s="1">
        <v>2051</v>
      </c>
      <c r="C31" s="10">
        <v>1408.1052</v>
      </c>
      <c r="D31" s="11">
        <v>38747.5997077916</v>
      </c>
      <c r="E31" s="3">
        <f t="shared" ref="E31:E34" si="12">E30*(1+$L$30)</f>
        <v>5942.87</v>
      </c>
      <c r="F31" s="11">
        <v>1446.0186</v>
      </c>
      <c r="G31" s="11">
        <v>39122.5015742741</v>
      </c>
      <c r="H31" s="17">
        <v>5589.92</v>
      </c>
      <c r="I31" s="11">
        <v>1569.6138</v>
      </c>
      <c r="J31" s="11">
        <v>40896.943350831</v>
      </c>
      <c r="K31" s="17">
        <v>6107.2</v>
      </c>
    </row>
    <row r="32" spans="1:11">
      <c r="A32" s="1" t="s">
        <v>3</v>
      </c>
      <c r="B32" s="1">
        <v>2052</v>
      </c>
      <c r="C32" s="10">
        <v>1404.3425</v>
      </c>
      <c r="D32" s="11">
        <v>39180.1529531039</v>
      </c>
      <c r="E32" s="3">
        <f t="shared" si="12"/>
        <v>5942.87</v>
      </c>
      <c r="F32" s="11">
        <v>1442.7916</v>
      </c>
      <c r="G32" s="11">
        <v>39547.8208546034</v>
      </c>
      <c r="H32" s="17">
        <v>5589.92</v>
      </c>
      <c r="I32" s="11">
        <v>1571.035</v>
      </c>
      <c r="J32" s="11">
        <v>41427.8261936887</v>
      </c>
      <c r="K32" s="17">
        <v>6107.2</v>
      </c>
    </row>
    <row r="33" spans="1:11">
      <c r="A33" s="1" t="s">
        <v>3</v>
      </c>
      <c r="B33" s="1">
        <v>2053</v>
      </c>
      <c r="C33" s="10">
        <v>1400.2357</v>
      </c>
      <c r="D33" s="11">
        <v>39576.2442069993</v>
      </c>
      <c r="E33" s="3">
        <f t="shared" si="12"/>
        <v>5942.87</v>
      </c>
      <c r="F33" s="11">
        <v>1439.1975</v>
      </c>
      <c r="G33" s="11">
        <v>39954.4273205113</v>
      </c>
      <c r="H33" s="17">
        <v>5589.92</v>
      </c>
      <c r="I33" s="11">
        <v>1572.1222</v>
      </c>
      <c r="J33" s="11">
        <v>41943.3882530297</v>
      </c>
      <c r="K33" s="17">
        <v>6107.2</v>
      </c>
    </row>
    <row r="34" spans="1:11">
      <c r="A34" s="1" t="s">
        <v>3</v>
      </c>
      <c r="B34" s="1">
        <v>2054</v>
      </c>
      <c r="C34" s="10">
        <v>1395.7553</v>
      </c>
      <c r="D34" s="11">
        <v>39937.366487174</v>
      </c>
      <c r="E34" s="3">
        <f t="shared" si="12"/>
        <v>5942.87</v>
      </c>
      <c r="F34" s="11">
        <v>1435.2382</v>
      </c>
      <c r="G34" s="11">
        <v>40337.2297524452</v>
      </c>
      <c r="H34" s="17">
        <v>5589.92</v>
      </c>
      <c r="I34" s="11">
        <v>1572.8508</v>
      </c>
      <c r="J34" s="11">
        <v>42442.598239246</v>
      </c>
      <c r="K34" s="17">
        <v>6107.2</v>
      </c>
    </row>
    <row r="35" spans="1:11">
      <c r="A35" s="1" t="s">
        <v>3</v>
      </c>
      <c r="B35" s="1">
        <v>2055</v>
      </c>
      <c r="C35" s="10">
        <v>1390.8724</v>
      </c>
      <c r="D35" s="11">
        <v>40265.0128113244</v>
      </c>
      <c r="E35" s="18">
        <v>5942.87</v>
      </c>
      <c r="F35" s="11">
        <v>1430.9153</v>
      </c>
      <c r="G35" s="11">
        <v>40691.1369308525</v>
      </c>
      <c r="H35" s="17">
        <v>5589.92</v>
      </c>
      <c r="I35" s="11">
        <v>1573.1973</v>
      </c>
      <c r="J35" s="11">
        <v>42924.4248627296</v>
      </c>
      <c r="K35" s="17">
        <v>6107.2</v>
      </c>
    </row>
    <row r="36" spans="1:11">
      <c r="A36" s="1" t="s">
        <v>3</v>
      </c>
      <c r="B36" s="1">
        <v>2056</v>
      </c>
      <c r="C36" s="10">
        <v>1385.5671</v>
      </c>
      <c r="D36" s="11">
        <v>40564.4648718481</v>
      </c>
      <c r="E36" s="18">
        <v>5942.87</v>
      </c>
      <c r="F36" s="11">
        <v>1426.2342</v>
      </c>
      <c r="G36" s="11">
        <v>41013.7494329457</v>
      </c>
      <c r="H36" s="17">
        <v>5589.92</v>
      </c>
      <c r="I36" s="11">
        <v>1573.1477</v>
      </c>
      <c r="J36" s="11">
        <v>43392.4259605488</v>
      </c>
      <c r="K36" s="17">
        <v>6107.2</v>
      </c>
    </row>
    <row r="37" spans="1:11">
      <c r="A37" s="1" t="s">
        <v>3</v>
      </c>
      <c r="B37" s="1">
        <v>2057</v>
      </c>
      <c r="C37" s="10">
        <v>1379.856</v>
      </c>
      <c r="D37" s="11">
        <v>40856.1590599471</v>
      </c>
      <c r="E37" s="18">
        <v>5942.87</v>
      </c>
      <c r="F37" s="11">
        <v>1421.2168</v>
      </c>
      <c r="G37" s="11">
        <v>41313.4350229979</v>
      </c>
      <c r="H37" s="17">
        <v>5589.92</v>
      </c>
      <c r="I37" s="11">
        <v>1572.7236</v>
      </c>
      <c r="J37" s="11">
        <v>43868.5158764762</v>
      </c>
      <c r="K37" s="17">
        <v>6107.2</v>
      </c>
    </row>
    <row r="38" spans="1:11">
      <c r="A38" s="1" t="s">
        <v>3</v>
      </c>
      <c r="B38" s="1">
        <v>2058</v>
      </c>
      <c r="C38" s="10">
        <v>1373.7646</v>
      </c>
      <c r="D38" s="11">
        <v>41164.3204415247</v>
      </c>
      <c r="E38" s="18">
        <v>5942.87</v>
      </c>
      <c r="F38" s="11">
        <v>1415.8892</v>
      </c>
      <c r="G38" s="11">
        <v>41601.2532620472</v>
      </c>
      <c r="H38" s="17">
        <v>5589.92</v>
      </c>
      <c r="I38" s="11">
        <v>1571.9557</v>
      </c>
      <c r="J38" s="11">
        <v>44379.1980809607</v>
      </c>
      <c r="K38" s="17">
        <v>6107.2</v>
      </c>
    </row>
    <row r="39" spans="1:11">
      <c r="A39" s="1" t="s">
        <v>3</v>
      </c>
      <c r="B39" s="1">
        <v>2059</v>
      </c>
      <c r="C39" s="10">
        <v>1367.3188</v>
      </c>
      <c r="D39" s="11">
        <v>41513.1740824839</v>
      </c>
      <c r="E39" s="18">
        <v>5942.87</v>
      </c>
      <c r="F39" s="11">
        <v>1410.2765</v>
      </c>
      <c r="G39" s="11">
        <v>41888.2637111318</v>
      </c>
      <c r="H39" s="17">
        <v>5589.92</v>
      </c>
      <c r="I39" s="11">
        <v>1570.8758</v>
      </c>
      <c r="J39" s="11">
        <v>44950.976044451</v>
      </c>
      <c r="K39" s="17">
        <v>6107.2</v>
      </c>
    </row>
    <row r="40" spans="1:11">
      <c r="A40" s="1" t="s">
        <v>3</v>
      </c>
      <c r="B40" s="1">
        <v>2060</v>
      </c>
      <c r="C40" s="10">
        <v>1360.5443</v>
      </c>
      <c r="D40" s="11">
        <v>41926.945048728</v>
      </c>
      <c r="E40" s="18">
        <v>5942.87</v>
      </c>
      <c r="F40" s="11">
        <v>1404.4038</v>
      </c>
      <c r="G40" s="11">
        <v>42185.5259312899</v>
      </c>
      <c r="H40" s="17">
        <v>5589.92</v>
      </c>
      <c r="I40" s="11">
        <v>1569.5163</v>
      </c>
      <c r="J40" s="11">
        <v>45610.3532373962</v>
      </c>
      <c r="K40" s="17">
        <v>6107.2</v>
      </c>
    </row>
    <row r="41" spans="1:11">
      <c r="A41" s="1" t="s">
        <v>3</v>
      </c>
      <c r="B41" s="1">
        <v>2061</v>
      </c>
      <c r="C41" s="10">
        <v>1353.4678</v>
      </c>
      <c r="D41" s="11">
        <v>42420.2837789343</v>
      </c>
      <c r="E41" s="18">
        <v>5942.87</v>
      </c>
      <c r="F41" s="11">
        <v>1398.298</v>
      </c>
      <c r="G41" s="11">
        <v>42502.6158063461</v>
      </c>
      <c r="H41" s="17">
        <v>5589.92</v>
      </c>
      <c r="I41" s="11">
        <v>1567.9087</v>
      </c>
      <c r="J41" s="11">
        <v>46372.1815215324</v>
      </c>
      <c r="K41" s="17">
        <v>6107.2</v>
      </c>
    </row>
    <row r="42" spans="1:11">
      <c r="A42" s="1" t="s">
        <v>3</v>
      </c>
      <c r="B42" s="1">
        <v>2062</v>
      </c>
      <c r="C42" s="10">
        <v>1346.1186</v>
      </c>
      <c r="D42" s="11">
        <v>42969.5422028768</v>
      </c>
      <c r="E42" s="18">
        <v>5942.87</v>
      </c>
      <c r="F42" s="11">
        <v>1391.9956</v>
      </c>
      <c r="G42" s="11">
        <v>42843.1745112707</v>
      </c>
      <c r="H42" s="17">
        <v>5589.92</v>
      </c>
      <c r="I42" s="11">
        <v>1566.0784</v>
      </c>
      <c r="J42" s="11">
        <v>47204.7063237464</v>
      </c>
      <c r="K42" s="17">
        <v>6107.2</v>
      </c>
    </row>
    <row r="43" spans="1:11">
      <c r="A43" s="1" t="s">
        <v>3</v>
      </c>
      <c r="B43" s="1">
        <v>2063</v>
      </c>
      <c r="C43" s="10">
        <v>1338.5266</v>
      </c>
      <c r="D43" s="11">
        <v>43541.4976231037</v>
      </c>
      <c r="E43" s="18">
        <v>5942.87</v>
      </c>
      <c r="F43" s="11">
        <v>1385.536</v>
      </c>
      <c r="G43" s="11">
        <v>43209.3595438204</v>
      </c>
      <c r="H43" s="17">
        <v>5589.92</v>
      </c>
      <c r="I43" s="11">
        <v>1564.0483</v>
      </c>
      <c r="J43" s="11">
        <v>48064.5214622124</v>
      </c>
      <c r="K43" s="17">
        <v>6107.2</v>
      </c>
    </row>
    <row r="44" spans="1:11">
      <c r="A44" s="1" t="s">
        <v>3</v>
      </c>
      <c r="B44" s="1">
        <v>2064</v>
      </c>
      <c r="C44" s="10">
        <v>1330.7211</v>
      </c>
      <c r="D44" s="11">
        <v>44102.9273421631</v>
      </c>
      <c r="E44" s="18">
        <v>5942.87</v>
      </c>
      <c r="F44" s="11">
        <v>1378.9585</v>
      </c>
      <c r="G44" s="11">
        <v>43603.328401752</v>
      </c>
      <c r="H44" s="17">
        <v>5589.92</v>
      </c>
      <c r="I44" s="11">
        <v>1561.8395</v>
      </c>
      <c r="J44" s="11">
        <v>48908.2207551045</v>
      </c>
      <c r="K44" s="17">
        <v>6107.2</v>
      </c>
    </row>
    <row r="45" spans="1:11">
      <c r="A45" s="1" t="s">
        <v>3</v>
      </c>
      <c r="B45" s="1">
        <v>2065</v>
      </c>
      <c r="C45" s="10">
        <v>1322.7309</v>
      </c>
      <c r="D45" s="11">
        <v>44620.6086626032</v>
      </c>
      <c r="E45" s="18">
        <v>5942.87</v>
      </c>
      <c r="F45" s="11">
        <v>1372.3026</v>
      </c>
      <c r="G45" s="11">
        <v>44027.2385828221</v>
      </c>
      <c r="H45" s="17">
        <v>5589.92</v>
      </c>
      <c r="I45" s="11">
        <v>1559.4717</v>
      </c>
      <c r="J45" s="11">
        <v>49692.398020597</v>
      </c>
      <c r="K45" s="17">
        <v>6107.2</v>
      </c>
    </row>
    <row r="46" spans="1:11">
      <c r="A46" s="1" t="s">
        <v>3</v>
      </c>
      <c r="B46" s="1">
        <v>2066</v>
      </c>
      <c r="C46" s="10">
        <v>1314.5927</v>
      </c>
      <c r="D46" s="11">
        <v>45070.0056963624</v>
      </c>
      <c r="E46" s="18">
        <v>5942.87</v>
      </c>
      <c r="F46" s="11">
        <v>1365.6011</v>
      </c>
      <c r="G46" s="11">
        <v>44476.8267083347</v>
      </c>
      <c r="H46" s="17">
        <v>5589.92</v>
      </c>
      <c r="I46" s="11">
        <v>1556.9723</v>
      </c>
      <c r="J46" s="11">
        <v>50384.8247927302</v>
      </c>
      <c r="K46" s="17">
        <v>6107.2</v>
      </c>
    </row>
    <row r="47" spans="1:11">
      <c r="A47" s="1" t="s">
        <v>3</v>
      </c>
      <c r="B47" s="1">
        <v>2067</v>
      </c>
      <c r="C47" s="10">
        <v>1306.375</v>
      </c>
      <c r="D47" s="11">
        <v>45461.3297929403</v>
      </c>
      <c r="E47" s="18">
        <v>5942.87</v>
      </c>
      <c r="F47" s="11">
        <v>1358.8581</v>
      </c>
      <c r="G47" s="11">
        <v>44922.1458937817</v>
      </c>
      <c r="H47" s="17">
        <v>5589.92</v>
      </c>
      <c r="I47" s="11">
        <v>1554.4051</v>
      </c>
      <c r="J47" s="11">
        <v>50997.9834690094</v>
      </c>
      <c r="K47" s="17">
        <v>6107.2</v>
      </c>
    </row>
    <row r="48" spans="1:11">
      <c r="A48" s="1" t="s">
        <v>3</v>
      </c>
      <c r="B48" s="1">
        <v>2068</v>
      </c>
      <c r="C48" s="10">
        <v>1298.1547</v>
      </c>
      <c r="D48" s="11">
        <v>45813.4791112267</v>
      </c>
      <c r="E48" s="18">
        <v>5942.87</v>
      </c>
      <c r="F48" s="11">
        <v>1352.0708</v>
      </c>
      <c r="G48" s="11">
        <v>45326.8283782025</v>
      </c>
      <c r="H48" s="17">
        <v>5589.92</v>
      </c>
      <c r="I48" s="11">
        <v>1551.842</v>
      </c>
      <c r="J48" s="11">
        <v>51555.534162806</v>
      </c>
      <c r="K48" s="17">
        <v>6107.2</v>
      </c>
    </row>
    <row r="49" spans="1:11">
      <c r="A49" s="1" t="s">
        <v>3</v>
      </c>
      <c r="B49" s="1">
        <v>2069</v>
      </c>
      <c r="C49" s="10">
        <v>1290.0087</v>
      </c>
      <c r="D49" s="11">
        <v>46145.3518101117</v>
      </c>
      <c r="E49" s="18">
        <v>5942.87</v>
      </c>
      <c r="F49" s="11">
        <v>1345.2368</v>
      </c>
      <c r="G49" s="11">
        <v>45654.5064006361</v>
      </c>
      <c r="H49" s="17">
        <v>5589.92</v>
      </c>
      <c r="I49" s="11">
        <v>1549.353</v>
      </c>
      <c r="J49" s="11">
        <v>52081.1369874915</v>
      </c>
      <c r="K49" s="17">
        <v>6107.2</v>
      </c>
    </row>
    <row r="50" spans="1:11">
      <c r="A50" s="1" t="s">
        <v>3</v>
      </c>
      <c r="B50" s="1">
        <v>2070</v>
      </c>
      <c r="C50" s="10">
        <v>1282.0145</v>
      </c>
      <c r="D50" s="11">
        <v>46475.8460484849</v>
      </c>
      <c r="E50" s="18">
        <v>5942.87</v>
      </c>
      <c r="F50" s="11">
        <v>1338.3539</v>
      </c>
      <c r="G50" s="11">
        <v>45868.8122001217</v>
      </c>
      <c r="H50" s="17">
        <v>5589.92</v>
      </c>
      <c r="I50" s="11">
        <v>1547.0067</v>
      </c>
      <c r="J50" s="11">
        <v>52598.4520564372</v>
      </c>
      <c r="K50" s="17">
        <v>6107.2</v>
      </c>
    </row>
    <row r="51" spans="1:11">
      <c r="A51" s="1" t="s">
        <v>3</v>
      </c>
      <c r="B51" s="1">
        <v>2071</v>
      </c>
      <c r="C51" s="10">
        <v>1274.2297</v>
      </c>
      <c r="D51" s="11">
        <v>46821.1681381063</v>
      </c>
      <c r="E51" s="18">
        <v>5942.87</v>
      </c>
      <c r="F51" s="11">
        <v>1331.425</v>
      </c>
      <c r="G51" s="11">
        <v>45951.257689096</v>
      </c>
      <c r="H51" s="17">
        <v>5589.92</v>
      </c>
      <c r="I51" s="11">
        <v>1544.8518</v>
      </c>
      <c r="J51" s="11">
        <v>53128.0012744165</v>
      </c>
      <c r="K51" s="17">
        <v>6107.2</v>
      </c>
    </row>
    <row r="52" spans="1:11">
      <c r="A52" s="1" t="s">
        <v>3</v>
      </c>
      <c r="B52" s="1">
        <v>2072</v>
      </c>
      <c r="C52" s="10">
        <v>1266.6329</v>
      </c>
      <c r="D52" s="11">
        <v>47186.7570022151</v>
      </c>
      <c r="E52" s="18">
        <v>5942.87</v>
      </c>
      <c r="F52" s="11">
        <v>1324.4721</v>
      </c>
      <c r="G52" s="11">
        <v>45954.8734735854</v>
      </c>
      <c r="H52" s="17">
        <v>5589.92</v>
      </c>
      <c r="I52" s="11">
        <v>1542.864</v>
      </c>
      <c r="J52" s="11">
        <v>53677.7537118105</v>
      </c>
      <c r="K52" s="17">
        <v>6107.2</v>
      </c>
    </row>
    <row r="53" spans="1:11">
      <c r="A53" s="1" t="s">
        <v>3</v>
      </c>
      <c r="B53" s="1">
        <v>2073</v>
      </c>
      <c r="C53" s="10">
        <v>1259.1824</v>
      </c>
      <c r="D53" s="11">
        <v>47575.3597169205</v>
      </c>
      <c r="E53" s="18">
        <v>5942.87</v>
      </c>
      <c r="F53" s="11">
        <v>1317.5223</v>
      </c>
      <c r="G53" s="11">
        <v>45950.5698330139</v>
      </c>
      <c r="H53" s="17">
        <v>5589.92</v>
      </c>
      <c r="I53" s="11">
        <v>1541.0021</v>
      </c>
      <c r="J53" s="11">
        <v>54252.5402304021</v>
      </c>
      <c r="K53" s="17">
        <v>6107.2</v>
      </c>
    </row>
    <row r="54" spans="1:11">
      <c r="A54" s="1" t="s">
        <v>3</v>
      </c>
      <c r="B54" s="1">
        <v>2074</v>
      </c>
      <c r="C54" s="10">
        <v>1251.837</v>
      </c>
      <c r="D54" s="11">
        <v>47989.7233583318</v>
      </c>
      <c r="E54" s="18">
        <v>5942.87</v>
      </c>
      <c r="F54" s="11">
        <v>1310.6035</v>
      </c>
      <c r="G54" s="11">
        <v>46009.2570468052</v>
      </c>
      <c r="H54" s="17">
        <v>5589.92</v>
      </c>
      <c r="I54" s="11">
        <v>1539.2253</v>
      </c>
      <c r="J54" s="11">
        <v>54857.1916919743</v>
      </c>
      <c r="K54" s="17">
        <v>6107.2</v>
      </c>
    </row>
    <row r="55" spans="1:11">
      <c r="A55" s="1" t="s">
        <v>3</v>
      </c>
      <c r="B55" s="1">
        <v>2075</v>
      </c>
      <c r="C55" s="10">
        <v>1244.5552</v>
      </c>
      <c r="D55" s="11">
        <v>48432.5950025582</v>
      </c>
      <c r="E55" s="18">
        <v>5942.87</v>
      </c>
      <c r="F55" s="11">
        <v>1303.7444</v>
      </c>
      <c r="G55" s="11">
        <v>46201.8453943833</v>
      </c>
      <c r="H55" s="17">
        <v>5589.92</v>
      </c>
      <c r="I55" s="11">
        <v>1537.494</v>
      </c>
      <c r="J55" s="11">
        <v>55496.5389583102</v>
      </c>
      <c r="K55" s="17">
        <v>6107.2</v>
      </c>
    </row>
    <row r="56" spans="1:11">
      <c r="A56" s="1" t="s">
        <v>3</v>
      </c>
      <c r="B56" s="1">
        <v>2076</v>
      </c>
      <c r="C56" s="10">
        <v>1237.2386</v>
      </c>
      <c r="D56" s="11">
        <v>48900.9084149201</v>
      </c>
      <c r="E56" s="18">
        <v>5942.87</v>
      </c>
      <c r="F56" s="11">
        <v>1296.9464</v>
      </c>
      <c r="G56" s="11">
        <v>46575.6370971227</v>
      </c>
      <c r="H56" s="17">
        <v>5589.92</v>
      </c>
      <c r="I56" s="11">
        <v>1535.7067</v>
      </c>
      <c r="J56" s="11">
        <v>56168.893696249</v>
      </c>
      <c r="K56" s="17">
        <v>6107.2</v>
      </c>
    </row>
    <row r="57" spans="1:11">
      <c r="A57" s="1" t="s">
        <v>3</v>
      </c>
      <c r="B57" s="1">
        <v>2077</v>
      </c>
      <c r="C57" s="10">
        <v>1229.5581</v>
      </c>
      <c r="D57" s="11">
        <v>49368.3441175834</v>
      </c>
      <c r="E57" s="18">
        <v>5942.87</v>
      </c>
      <c r="F57" s="11">
        <v>1290.0993</v>
      </c>
      <c r="G57" s="11">
        <v>47083.5021442003</v>
      </c>
      <c r="H57" s="17">
        <v>5589.92</v>
      </c>
      <c r="I57" s="11">
        <v>1533.5117</v>
      </c>
      <c r="J57" s="11">
        <v>56846.4907928559</v>
      </c>
      <c r="K57" s="17">
        <v>6107.2</v>
      </c>
    </row>
    <row r="58" spans="1:11">
      <c r="A58" s="1" t="s">
        <v>3</v>
      </c>
      <c r="B58" s="1">
        <v>2078</v>
      </c>
      <c r="C58" s="10">
        <v>1221.1256</v>
      </c>
      <c r="D58" s="11">
        <v>49802.7693219249</v>
      </c>
      <c r="E58" s="18">
        <v>5942.87</v>
      </c>
      <c r="F58" s="11">
        <v>1283.0624</v>
      </c>
      <c r="G58" s="11">
        <v>47654.7024667434</v>
      </c>
      <c r="H58" s="17">
        <v>5589.92</v>
      </c>
      <c r="I58" s="11">
        <v>1530.4962</v>
      </c>
      <c r="J58" s="11">
        <v>57495.0459402524</v>
      </c>
      <c r="K58" s="17">
        <v>6107.2</v>
      </c>
    </row>
    <row r="59" spans="1:11">
      <c r="A59" s="1" t="s">
        <v>3</v>
      </c>
      <c r="B59" s="1">
        <v>2079</v>
      </c>
      <c r="C59" s="10">
        <v>1211.55</v>
      </c>
      <c r="D59" s="11">
        <v>50172.0512393217</v>
      </c>
      <c r="E59" s="18">
        <v>5942.87</v>
      </c>
      <c r="F59" s="11">
        <v>1275.6919</v>
      </c>
      <c r="G59" s="11">
        <v>48218.4999958794</v>
      </c>
      <c r="H59" s="17">
        <v>5589.92</v>
      </c>
      <c r="I59" s="11">
        <v>1526.248</v>
      </c>
      <c r="J59" s="11">
        <v>58080.27483056</v>
      </c>
      <c r="K59" s="17">
        <v>6107.2</v>
      </c>
    </row>
    <row r="60" spans="1:11">
      <c r="A60" s="1" t="s">
        <v>3</v>
      </c>
      <c r="B60" s="1">
        <v>2080</v>
      </c>
      <c r="C60" s="10">
        <v>1200.437</v>
      </c>
      <c r="D60" s="11">
        <v>50444.0570811508</v>
      </c>
      <c r="E60" s="18">
        <v>5942.87</v>
      </c>
      <c r="F60" s="11">
        <v>1267.8405</v>
      </c>
      <c r="G60" s="11">
        <v>48704.1566627358</v>
      </c>
      <c r="H60" s="17">
        <v>5589.92</v>
      </c>
      <c r="I60" s="11">
        <v>1520.356</v>
      </c>
      <c r="J60" s="11">
        <v>58567.8931559002</v>
      </c>
      <c r="K60" s="17">
        <v>6107.2</v>
      </c>
    </row>
    <row r="61" spans="1:11">
      <c r="A61" s="1" t="s">
        <v>3</v>
      </c>
      <c r="B61" s="1">
        <v>2081</v>
      </c>
      <c r="C61" s="10">
        <v>1187.4987</v>
      </c>
      <c r="D61" s="11">
        <v>50601.677328947</v>
      </c>
      <c r="E61" s="18">
        <v>5942.87</v>
      </c>
      <c r="F61" s="11">
        <v>1259.3956</v>
      </c>
      <c r="G61" s="11">
        <v>49059.6909238012</v>
      </c>
      <c r="H61" s="17">
        <v>5589.92</v>
      </c>
      <c r="I61" s="11">
        <v>1512.5307</v>
      </c>
      <c r="J61" s="11">
        <v>58940.0202795827</v>
      </c>
      <c r="K61" s="17">
        <v>6107.2</v>
      </c>
    </row>
    <row r="62" spans="1:11">
      <c r="A62" s="1" t="s">
        <v>3</v>
      </c>
      <c r="B62" s="1">
        <v>2082</v>
      </c>
      <c r="C62" s="10">
        <v>1172.8912</v>
      </c>
      <c r="D62" s="11">
        <v>50687.8955448767</v>
      </c>
      <c r="E62" s="18">
        <v>5942.87</v>
      </c>
      <c r="F62" s="11">
        <v>1250.3957</v>
      </c>
      <c r="G62" s="11">
        <v>49308.1473370088</v>
      </c>
      <c r="H62" s="17">
        <v>5589.92</v>
      </c>
      <c r="I62" s="11">
        <v>1502.9708</v>
      </c>
      <c r="J62" s="11">
        <v>59244.3902496703</v>
      </c>
      <c r="K62" s="17">
        <v>6107.2</v>
      </c>
    </row>
    <row r="63" spans="1:11">
      <c r="A63" s="1" t="s">
        <v>3</v>
      </c>
      <c r="B63" s="1">
        <v>2083</v>
      </c>
      <c r="C63" s="10">
        <v>1156.8808</v>
      </c>
      <c r="D63" s="11">
        <v>50760.7185612641</v>
      </c>
      <c r="E63" s="18">
        <v>5942.87</v>
      </c>
      <c r="F63" s="11">
        <v>1240.9183</v>
      </c>
      <c r="G63" s="11">
        <v>49491.3269856531</v>
      </c>
      <c r="H63" s="17">
        <v>5589.92</v>
      </c>
      <c r="I63" s="11">
        <v>1491.9929</v>
      </c>
      <c r="J63" s="11">
        <v>59545.1407854141</v>
      </c>
      <c r="K63" s="17">
        <v>6107.2</v>
      </c>
    </row>
    <row r="64" spans="1:11">
      <c r="A64" s="1" t="s">
        <v>3</v>
      </c>
      <c r="B64" s="1">
        <v>2084</v>
      </c>
      <c r="C64" s="10">
        <v>1139.7335</v>
      </c>
      <c r="D64" s="11">
        <v>50878.1532104335</v>
      </c>
      <c r="E64" s="18">
        <v>5942.87</v>
      </c>
      <c r="F64" s="11">
        <v>1231.0423</v>
      </c>
      <c r="G64" s="11">
        <v>49651.0309530283</v>
      </c>
      <c r="H64" s="17">
        <v>5589.92</v>
      </c>
      <c r="I64" s="11">
        <v>1479.9097</v>
      </c>
      <c r="J64" s="11">
        <v>59906.4096060649</v>
      </c>
      <c r="K64" s="17">
        <v>6107.2</v>
      </c>
    </row>
    <row r="65" spans="1:11">
      <c r="A65" s="1" t="s">
        <v>3</v>
      </c>
      <c r="B65" s="1">
        <v>2085</v>
      </c>
      <c r="C65" s="10">
        <v>1121.7158</v>
      </c>
      <c r="D65" s="11">
        <v>51098.2063247092</v>
      </c>
      <c r="E65" s="18">
        <v>5942.87</v>
      </c>
      <c r="F65" s="11">
        <v>1220.8484</v>
      </c>
      <c r="G65" s="11">
        <v>49829.060322429</v>
      </c>
      <c r="H65" s="17">
        <v>5589.92</v>
      </c>
      <c r="I65" s="11">
        <v>1467.0302</v>
      </c>
      <c r="J65" s="11">
        <v>60392.3344308739</v>
      </c>
      <c r="K65" s="17">
        <v>6107.2</v>
      </c>
    </row>
    <row r="66" spans="1:11">
      <c r="A66" s="1" t="s">
        <v>3</v>
      </c>
      <c r="B66" s="1">
        <v>2086</v>
      </c>
      <c r="C66" s="10">
        <v>1103.1471</v>
      </c>
      <c r="D66" s="11">
        <v>51458.9760101478</v>
      </c>
      <c r="E66" s="18">
        <v>5942.87</v>
      </c>
      <c r="F66" s="11">
        <v>1210.4658</v>
      </c>
      <c r="G66" s="11">
        <v>50055.1917923709</v>
      </c>
      <c r="H66" s="17">
        <v>5589.92</v>
      </c>
      <c r="I66" s="11">
        <v>1453.6953</v>
      </c>
      <c r="J66" s="11">
        <v>61046.4268500202</v>
      </c>
      <c r="K66" s="17">
        <v>6107.2</v>
      </c>
    </row>
    <row r="67" spans="1:11">
      <c r="A67" s="1" t="s">
        <v>3</v>
      </c>
      <c r="B67" s="1">
        <v>2087</v>
      </c>
      <c r="C67" s="10">
        <v>1084.555</v>
      </c>
      <c r="D67" s="11">
        <v>51918.9254677354</v>
      </c>
      <c r="E67" s="18">
        <v>5942.87</v>
      </c>
      <c r="F67" s="11">
        <v>1200.2121</v>
      </c>
      <c r="G67" s="11">
        <v>50311.1045222552</v>
      </c>
      <c r="H67" s="17">
        <v>5589.92</v>
      </c>
      <c r="I67" s="11">
        <v>1440.3874</v>
      </c>
      <c r="J67" s="11">
        <v>61829.6939373954</v>
      </c>
      <c r="K67" s="17">
        <v>6107.2</v>
      </c>
    </row>
    <row r="68" spans="1:11">
      <c r="A68" s="1" t="s">
        <v>3</v>
      </c>
      <c r="B68" s="1">
        <v>2088</v>
      </c>
      <c r="C68" s="10">
        <v>1066.5309</v>
      </c>
      <c r="D68" s="11">
        <v>52416.6091721908</v>
      </c>
      <c r="E68" s="18">
        <v>5942.87</v>
      </c>
      <c r="F68" s="11">
        <v>1190.4601</v>
      </c>
      <c r="G68" s="11">
        <v>50566.4532867042</v>
      </c>
      <c r="H68" s="17">
        <v>5589.92</v>
      </c>
      <c r="I68" s="11">
        <v>1427.6324</v>
      </c>
      <c r="J68" s="11">
        <v>62682.5166378193</v>
      </c>
      <c r="K68" s="17">
        <v>6107.2</v>
      </c>
    </row>
    <row r="69" spans="1:11">
      <c r="A69" s="1" t="s">
        <v>3</v>
      </c>
      <c r="B69" s="1">
        <v>2089</v>
      </c>
      <c r="C69" s="10">
        <v>1049.6799</v>
      </c>
      <c r="D69" s="11">
        <v>52890.5815982325</v>
      </c>
      <c r="E69" s="18">
        <v>5942.87</v>
      </c>
      <c r="F69" s="11">
        <v>1181.5919</v>
      </c>
      <c r="G69" s="11">
        <v>50790.8928603405</v>
      </c>
      <c r="H69" s="17">
        <v>5589.92</v>
      </c>
      <c r="I69" s="11">
        <v>1415.9659</v>
      </c>
      <c r="J69" s="11">
        <v>63545.2758961117</v>
      </c>
      <c r="K69" s="17">
        <v>6107.2</v>
      </c>
    </row>
    <row r="70" spans="1:11">
      <c r="A70" s="1" t="s">
        <v>3</v>
      </c>
      <c r="B70" s="1">
        <v>2090</v>
      </c>
      <c r="C70" s="10">
        <v>1034.6206</v>
      </c>
      <c r="D70" s="11">
        <v>53279.3972205792</v>
      </c>
      <c r="E70" s="18">
        <v>5942.87</v>
      </c>
      <c r="F70" s="11">
        <v>1173.9986</v>
      </c>
      <c r="G70" s="11">
        <v>50954.0780177867</v>
      </c>
      <c r="H70" s="17">
        <v>5589.92</v>
      </c>
      <c r="I70" s="11">
        <v>1405.9325</v>
      </c>
      <c r="J70" s="11">
        <v>64358.3526570922</v>
      </c>
      <c r="K70" s="17">
        <v>6107.2</v>
      </c>
    </row>
    <row r="71" spans="1:11">
      <c r="A71" s="1" t="s">
        <v>3</v>
      </c>
      <c r="B71" s="1">
        <v>2091</v>
      </c>
      <c r="C71" s="10">
        <v>1021.833</v>
      </c>
      <c r="D71" s="11">
        <v>53537.30031681</v>
      </c>
      <c r="E71" s="18">
        <v>5942.87</v>
      </c>
      <c r="F71" s="11">
        <v>1167.9772</v>
      </c>
      <c r="G71" s="11">
        <v>51035.2221891757</v>
      </c>
      <c r="H71" s="17">
        <v>5589.92</v>
      </c>
      <c r="I71" s="11">
        <v>1397.9504</v>
      </c>
      <c r="J71" s="11">
        <v>65077.8508145677</v>
      </c>
      <c r="K71" s="17">
        <v>6107.2</v>
      </c>
    </row>
    <row r="72" spans="1:11">
      <c r="A72" s="1" t="s">
        <v>3</v>
      </c>
      <c r="B72" s="1">
        <v>2092</v>
      </c>
      <c r="C72" s="10">
        <v>1011.1977</v>
      </c>
      <c r="D72" s="11">
        <v>53681.2943759456</v>
      </c>
      <c r="E72" s="18">
        <v>5942.87</v>
      </c>
      <c r="F72" s="11">
        <v>1163.4184</v>
      </c>
      <c r="G72" s="11">
        <v>51051.7734266839</v>
      </c>
      <c r="H72" s="17">
        <v>5589.92</v>
      </c>
      <c r="I72" s="11">
        <v>1391.9037</v>
      </c>
      <c r="J72" s="11">
        <v>65722.7660582923</v>
      </c>
      <c r="K72" s="17">
        <v>6107.2</v>
      </c>
    </row>
    <row r="73" spans="1:11">
      <c r="A73" s="1" t="s">
        <v>3</v>
      </c>
      <c r="B73" s="1">
        <v>2093</v>
      </c>
      <c r="C73" s="10">
        <v>1002.4379</v>
      </c>
      <c r="D73" s="11">
        <v>53744.0726898676</v>
      </c>
      <c r="E73" s="18">
        <v>5942.87</v>
      </c>
      <c r="F73" s="11">
        <v>1160.1059</v>
      </c>
      <c r="G73" s="11">
        <v>51030.7384379981</v>
      </c>
      <c r="H73" s="17">
        <v>5589.92</v>
      </c>
      <c r="I73" s="11">
        <v>1387.5371</v>
      </c>
      <c r="J73" s="11">
        <v>66327.8170270073</v>
      </c>
      <c r="K73" s="17">
        <v>6107.2</v>
      </c>
    </row>
    <row r="74" spans="1:11">
      <c r="A74" s="1" t="s">
        <v>3</v>
      </c>
      <c r="B74" s="1">
        <v>2094</v>
      </c>
      <c r="C74" s="10">
        <v>995.2696</v>
      </c>
      <c r="D74" s="11">
        <v>53758.3285504573</v>
      </c>
      <c r="E74" s="18">
        <v>5942.87</v>
      </c>
      <c r="F74" s="11">
        <v>1157.8182</v>
      </c>
      <c r="G74" s="11">
        <v>50999.123930805</v>
      </c>
      <c r="H74" s="17">
        <v>5589.92</v>
      </c>
      <c r="I74" s="11">
        <v>1384.5893</v>
      </c>
      <c r="J74" s="11">
        <v>66927.7223594538</v>
      </c>
      <c r="K74" s="17">
        <v>6107.2</v>
      </c>
    </row>
    <row r="75" spans="1:11">
      <c r="A75" s="1" t="s">
        <v>3</v>
      </c>
      <c r="B75" s="1">
        <v>2095</v>
      </c>
      <c r="C75" s="10">
        <v>989.4023</v>
      </c>
      <c r="D75" s="11">
        <v>53756.7552495959</v>
      </c>
      <c r="E75" s="18">
        <v>5942.87</v>
      </c>
      <c r="F75" s="11">
        <v>1156.3287</v>
      </c>
      <c r="G75" s="11">
        <v>50983.9366127915</v>
      </c>
      <c r="H75" s="17">
        <v>5589.92</v>
      </c>
      <c r="I75" s="11">
        <v>1382.7939</v>
      </c>
      <c r="J75" s="11">
        <v>67557.2006943729</v>
      </c>
      <c r="K75" s="17">
        <v>6107.2</v>
      </c>
    </row>
    <row r="76" spans="1:11">
      <c r="A76" s="1" t="s">
        <v>3</v>
      </c>
      <c r="B76" s="1">
        <v>2096</v>
      </c>
      <c r="C76" s="10">
        <v>984.5391</v>
      </c>
      <c r="D76" s="11">
        <v>53772.0460791649</v>
      </c>
      <c r="E76" s="18">
        <v>5942.87</v>
      </c>
      <c r="F76" s="11">
        <v>1155.4062</v>
      </c>
      <c r="G76" s="11">
        <v>51012.1831916445</v>
      </c>
      <c r="H76" s="17">
        <v>5589.92</v>
      </c>
      <c r="I76" s="11">
        <v>1381.8798</v>
      </c>
      <c r="J76" s="11">
        <v>68250.9706705059</v>
      </c>
      <c r="K76" s="17">
        <v>6107.2</v>
      </c>
    </row>
    <row r="77" spans="1:11">
      <c r="A77" s="1" t="s">
        <v>3</v>
      </c>
      <c r="B77" s="1">
        <v>2097</v>
      </c>
      <c r="C77" s="10">
        <v>980.3778</v>
      </c>
      <c r="D77" s="11">
        <v>53836.8943310457</v>
      </c>
      <c r="E77" s="18">
        <v>5942.87</v>
      </c>
      <c r="F77" s="11">
        <v>1154.8155</v>
      </c>
      <c r="G77" s="11">
        <v>51110.8703750508</v>
      </c>
      <c r="H77" s="17">
        <v>5589.92</v>
      </c>
      <c r="I77" s="11">
        <v>1381.5718</v>
      </c>
      <c r="J77" s="11">
        <v>69043.7509265938</v>
      </c>
      <c r="K77" s="17">
        <v>6107.2</v>
      </c>
    </row>
    <row r="78" spans="1:11">
      <c r="A78" s="1" t="s">
        <v>3</v>
      </c>
      <c r="B78" s="1">
        <v>2098</v>
      </c>
      <c r="C78" s="10">
        <v>976.6117</v>
      </c>
      <c r="D78" s="11">
        <v>53983.9932971195</v>
      </c>
      <c r="E78" s="18">
        <v>5942.87</v>
      </c>
      <c r="F78" s="11">
        <v>1154.3174</v>
      </c>
      <c r="G78" s="11">
        <v>51307.0048706972</v>
      </c>
      <c r="H78" s="17">
        <v>5589.92</v>
      </c>
      <c r="I78" s="11">
        <v>1381.5914</v>
      </c>
      <c r="J78" s="11">
        <v>69970.260101378</v>
      </c>
      <c r="K78" s="17">
        <v>6107.2</v>
      </c>
    </row>
    <row r="79" spans="1:11">
      <c r="A79" s="1" t="s">
        <v>3</v>
      </c>
      <c r="B79" s="1">
        <v>2099</v>
      </c>
      <c r="C79" s="10">
        <v>972.9301</v>
      </c>
      <c r="D79" s="11">
        <v>54246.0362692677</v>
      </c>
      <c r="E79" s="18">
        <v>5942.87</v>
      </c>
      <c r="F79" s="11">
        <v>1153.6697</v>
      </c>
      <c r="G79" s="11">
        <v>51627.5933862706</v>
      </c>
      <c r="H79" s="17">
        <v>5589.92</v>
      </c>
      <c r="I79" s="11">
        <v>1381.6575</v>
      </c>
      <c r="J79" s="11">
        <v>71065.2168335994</v>
      </c>
      <c r="K79" s="17">
        <v>6107.2</v>
      </c>
    </row>
    <row r="80" spans="1:11">
      <c r="A80" s="1" t="s">
        <v>3</v>
      </c>
      <c r="B80" s="1">
        <v>2100</v>
      </c>
      <c r="C80" s="10">
        <v>969.0191</v>
      </c>
      <c r="D80" s="11">
        <v>54655.7165393717</v>
      </c>
      <c r="E80" s="18">
        <v>5942.87</v>
      </c>
      <c r="F80" s="11">
        <v>1152.6267</v>
      </c>
      <c r="G80" s="11">
        <v>52099.6426294578</v>
      </c>
      <c r="H80" s="17">
        <v>5589.92</v>
      </c>
      <c r="I80" s="11">
        <v>1381.4869</v>
      </c>
      <c r="J80" s="11">
        <v>72363.3397619994</v>
      </c>
      <c r="K80" s="17">
        <v>6107.2</v>
      </c>
    </row>
    <row r="81" spans="1:11">
      <c r="A81" s="1" t="s">
        <v>4</v>
      </c>
      <c r="B81" s="1">
        <v>2023</v>
      </c>
      <c r="C81" s="10">
        <v>7589.1033</v>
      </c>
      <c r="D81" s="11">
        <v>45312.5122179771</v>
      </c>
      <c r="E81" s="16">
        <v>28013.35</v>
      </c>
      <c r="F81" s="11">
        <v>7719.41</v>
      </c>
      <c r="G81" s="11">
        <v>44898.5990057556</v>
      </c>
      <c r="H81" s="17">
        <v>27204.41</v>
      </c>
      <c r="I81" s="11">
        <v>7574.3832</v>
      </c>
      <c r="J81" s="11">
        <v>45806.494109838</v>
      </c>
      <c r="K81" s="17">
        <v>28051.61</v>
      </c>
    </row>
    <row r="82" spans="1:11">
      <c r="A82" s="1" t="s">
        <v>4</v>
      </c>
      <c r="B82" s="1">
        <v>2024</v>
      </c>
      <c r="C82" s="10">
        <v>7589.5413</v>
      </c>
      <c r="D82" s="11">
        <v>48740.4839699863</v>
      </c>
      <c r="E82" s="3">
        <f>(E81+E83)/2</f>
        <v>29206.54</v>
      </c>
      <c r="F82" s="11">
        <v>7732.0762</v>
      </c>
      <c r="G82" s="11">
        <v>48103.1449212428</v>
      </c>
      <c r="H82" s="4">
        <f>(H81+H83)/2</f>
        <v>28138.11</v>
      </c>
      <c r="I82" s="11">
        <v>7571.5784</v>
      </c>
      <c r="J82" s="11">
        <v>49242.3707862469</v>
      </c>
      <c r="K82" s="4">
        <f>(K81+K83)/2</f>
        <v>29304</v>
      </c>
    </row>
    <row r="83" spans="1:11">
      <c r="A83" s="1" t="s">
        <v>4</v>
      </c>
      <c r="B83" s="1">
        <v>2025</v>
      </c>
      <c r="C83" s="10">
        <v>7587.7114</v>
      </c>
      <c r="D83" s="11">
        <v>51955.6418337239</v>
      </c>
      <c r="E83" s="16">
        <v>30399.73</v>
      </c>
      <c r="F83" s="11">
        <v>7741.257</v>
      </c>
      <c r="G83" s="11">
        <v>51182.5815083842</v>
      </c>
      <c r="H83" s="17">
        <v>29071.81</v>
      </c>
      <c r="I83" s="11">
        <v>7566.0205</v>
      </c>
      <c r="J83" s="11">
        <v>52441.5607302339</v>
      </c>
      <c r="K83" s="17">
        <v>30556.39</v>
      </c>
    </row>
    <row r="84" spans="1:11">
      <c r="A84" s="1" t="s">
        <v>4</v>
      </c>
      <c r="B84" s="1">
        <v>2026</v>
      </c>
      <c r="C84" s="10">
        <v>7584.0138</v>
      </c>
      <c r="D84" s="11">
        <v>54806.3072647852</v>
      </c>
      <c r="E84" s="3">
        <f t="shared" ref="E84:E87" si="13">E83*(1+$L$83)</f>
        <v>30399.73</v>
      </c>
      <c r="F84" s="11">
        <v>7747.4538</v>
      </c>
      <c r="G84" s="11">
        <v>54028.3871546404</v>
      </c>
      <c r="H84" s="4">
        <f t="shared" ref="H84:H87" si="14">H83*(1+M$83)</f>
        <v>29071.81</v>
      </c>
      <c r="I84" s="11">
        <v>7558.0746</v>
      </c>
      <c r="J84" s="11">
        <v>55248.4504154532</v>
      </c>
      <c r="K84" s="4">
        <f t="shared" ref="K84:K87" si="15">K83*(1+N$83)</f>
        <v>30556.39</v>
      </c>
    </row>
    <row r="85" spans="1:11">
      <c r="A85" s="1" t="s">
        <v>4</v>
      </c>
      <c r="B85" s="1">
        <v>2027</v>
      </c>
      <c r="C85" s="10">
        <v>7578.7771</v>
      </c>
      <c r="D85" s="11">
        <v>57336.827433384</v>
      </c>
      <c r="E85" s="3">
        <f t="shared" si="13"/>
        <v>30399.73</v>
      </c>
      <c r="F85" s="11">
        <v>7751.2077</v>
      </c>
      <c r="G85" s="11">
        <v>56651.9962156059</v>
      </c>
      <c r="H85" s="4">
        <f t="shared" si="14"/>
        <v>29071.81</v>
      </c>
      <c r="I85" s="11">
        <v>7548.1577</v>
      </c>
      <c r="J85" s="11">
        <v>57723.3541748602</v>
      </c>
      <c r="K85" s="4">
        <f t="shared" si="15"/>
        <v>30556.39</v>
      </c>
    </row>
    <row r="86" spans="1:11">
      <c r="A86" s="1" t="s">
        <v>4</v>
      </c>
      <c r="B86" s="1">
        <v>2028</v>
      </c>
      <c r="C86" s="10">
        <v>7572.3121</v>
      </c>
      <c r="D86" s="11">
        <v>59640.5559383888</v>
      </c>
      <c r="E86" s="3">
        <f t="shared" si="13"/>
        <v>30399.73</v>
      </c>
      <c r="F86" s="11">
        <v>7753.0697</v>
      </c>
      <c r="G86" s="11">
        <v>59094.8320389086</v>
      </c>
      <c r="H86" s="4">
        <f t="shared" si="14"/>
        <v>29071.81</v>
      </c>
      <c r="I86" s="11">
        <v>7536.6998</v>
      </c>
      <c r="J86" s="11">
        <v>59980.5683062353</v>
      </c>
      <c r="K86" s="4">
        <f t="shared" si="15"/>
        <v>30556.39</v>
      </c>
    </row>
    <row r="87" spans="1:11">
      <c r="A87" s="1" t="s">
        <v>4</v>
      </c>
      <c r="B87" s="1">
        <v>2029</v>
      </c>
      <c r="C87" s="10">
        <v>7564.9301</v>
      </c>
      <c r="D87" s="11">
        <v>61810.8463786685</v>
      </c>
      <c r="E87" s="3">
        <f t="shared" si="13"/>
        <v>30399.73</v>
      </c>
      <c r="F87" s="11">
        <v>7753.5908</v>
      </c>
      <c r="G87" s="11">
        <v>61398.3179721762</v>
      </c>
      <c r="H87" s="4">
        <f t="shared" si="14"/>
        <v>29071.81</v>
      </c>
      <c r="I87" s="11">
        <v>7524.1314</v>
      </c>
      <c r="J87" s="11">
        <v>62134.3891073592</v>
      </c>
      <c r="K87" s="4">
        <f t="shared" si="15"/>
        <v>30556.39</v>
      </c>
    </row>
    <row r="88" spans="1:11">
      <c r="A88" s="1" t="s">
        <v>4</v>
      </c>
      <c r="B88" s="1">
        <v>2030</v>
      </c>
      <c r="C88" s="10">
        <v>7556.9428</v>
      </c>
      <c r="D88" s="11">
        <v>63941.0523530915</v>
      </c>
      <c r="E88" s="16">
        <v>32829.94</v>
      </c>
      <c r="F88" s="11">
        <v>7753.3219</v>
      </c>
      <c r="G88" s="11">
        <v>63603.8773630368</v>
      </c>
      <c r="H88" s="17">
        <v>30953.72</v>
      </c>
      <c r="I88" s="11">
        <v>7510.8841</v>
      </c>
      <c r="J88" s="11">
        <v>64299.1128760123</v>
      </c>
      <c r="K88" s="17">
        <v>33107.52</v>
      </c>
    </row>
    <row r="89" spans="1:11">
      <c r="A89" s="1" t="s">
        <v>4</v>
      </c>
      <c r="B89" s="1">
        <v>2031</v>
      </c>
      <c r="C89" s="10">
        <v>7548.6096</v>
      </c>
      <c r="D89" s="11">
        <v>66105.6906778656</v>
      </c>
      <c r="E89" s="3">
        <f t="shared" ref="E89:E92" si="16">E88*(1+$L$88)</f>
        <v>32829.94</v>
      </c>
      <c r="F89" s="11">
        <v>7752.7446</v>
      </c>
      <c r="G89" s="11">
        <v>65750.3840683047</v>
      </c>
      <c r="H89" s="4">
        <f t="shared" ref="H89:H92" si="17">H88*(1+M$88)</f>
        <v>30953.72</v>
      </c>
      <c r="I89" s="11">
        <v>7497.3152</v>
      </c>
      <c r="J89" s="11">
        <v>66564.3676396656</v>
      </c>
      <c r="K89" s="4">
        <f t="shared" ref="K89:K92" si="18">K88*(1+N$88)</f>
        <v>33107.52</v>
      </c>
    </row>
    <row r="90" spans="1:11">
      <c r="A90" s="1" t="s">
        <v>4</v>
      </c>
      <c r="B90" s="1">
        <v>2032</v>
      </c>
      <c r="C90" s="10">
        <v>7539.9777</v>
      </c>
      <c r="D90" s="11">
        <v>68303.9310385539</v>
      </c>
      <c r="E90" s="3">
        <f t="shared" si="16"/>
        <v>32829.94</v>
      </c>
      <c r="F90" s="11">
        <v>7752.0641</v>
      </c>
      <c r="G90" s="11">
        <v>67866.5139815415</v>
      </c>
      <c r="H90" s="4">
        <f t="shared" si="17"/>
        <v>30953.72</v>
      </c>
      <c r="I90" s="11">
        <v>7483.4828</v>
      </c>
      <c r="J90" s="11">
        <v>68921.1083445517</v>
      </c>
      <c r="K90" s="4">
        <f t="shared" si="18"/>
        <v>33107.52</v>
      </c>
    </row>
    <row r="91" spans="1:11">
      <c r="A91" s="1" t="s">
        <v>4</v>
      </c>
      <c r="B91" s="1">
        <v>2033</v>
      </c>
      <c r="C91" s="10">
        <v>7531.0415</v>
      </c>
      <c r="D91" s="11">
        <v>70516.1063380588</v>
      </c>
      <c r="E91" s="3">
        <f t="shared" si="16"/>
        <v>32829.94</v>
      </c>
      <c r="F91" s="11">
        <v>7751.4167</v>
      </c>
      <c r="G91" s="11">
        <v>69978.3935054951</v>
      </c>
      <c r="H91" s="4">
        <f t="shared" si="17"/>
        <v>30953.72</v>
      </c>
      <c r="I91" s="11">
        <v>7469.3701</v>
      </c>
      <c r="J91" s="11">
        <v>71335.6216665936</v>
      </c>
      <c r="K91" s="4">
        <f t="shared" si="18"/>
        <v>33107.52</v>
      </c>
    </row>
    <row r="92" spans="1:11">
      <c r="A92" s="1" t="s">
        <v>4</v>
      </c>
      <c r="B92" s="1">
        <v>2034</v>
      </c>
      <c r="C92" s="10">
        <v>7521.7955</v>
      </c>
      <c r="D92" s="11">
        <v>72722.5494792824</v>
      </c>
      <c r="E92" s="3">
        <f t="shared" si="16"/>
        <v>32829.94</v>
      </c>
      <c r="F92" s="11">
        <v>7750.9387</v>
      </c>
      <c r="G92" s="11">
        <v>72112.1490429139</v>
      </c>
      <c r="H92" s="4">
        <f t="shared" si="17"/>
        <v>30953.72</v>
      </c>
      <c r="I92" s="11">
        <v>7454.9602</v>
      </c>
      <c r="J92" s="11">
        <v>73774.1942817142</v>
      </c>
      <c r="K92" s="4">
        <f t="shared" si="18"/>
        <v>33107.52</v>
      </c>
    </row>
    <row r="93" spans="1:11">
      <c r="A93" s="1" t="s">
        <v>4</v>
      </c>
      <c r="B93" s="1">
        <v>2035</v>
      </c>
      <c r="C93" s="10">
        <v>7512.2342</v>
      </c>
      <c r="D93" s="11">
        <v>74903.5933651269</v>
      </c>
      <c r="E93" s="18">
        <v>34389.98</v>
      </c>
      <c r="F93" s="11">
        <v>7750.7667</v>
      </c>
      <c r="G93" s="11">
        <v>74293.9069965458</v>
      </c>
      <c r="H93" s="17">
        <v>32241.85</v>
      </c>
      <c r="I93" s="11">
        <v>7440.2367</v>
      </c>
      <c r="J93" s="11">
        <v>76203.1128658368</v>
      </c>
      <c r="K93" s="17">
        <v>34820.6</v>
      </c>
    </row>
    <row r="94" spans="1:11">
      <c r="A94" s="1" t="s">
        <v>4</v>
      </c>
      <c r="B94" s="1">
        <v>2036</v>
      </c>
      <c r="C94" s="10">
        <v>7502.309</v>
      </c>
      <c r="D94" s="11">
        <v>77038.3487392528</v>
      </c>
      <c r="E94" s="3">
        <f t="shared" ref="E94:E97" si="19">E93*(1+$L$93)</f>
        <v>34389.98</v>
      </c>
      <c r="F94" s="11">
        <v>7750.9684</v>
      </c>
      <c r="G94" s="11">
        <v>76532.977002602</v>
      </c>
      <c r="H94" s="4">
        <f t="shared" ref="H94:H97" si="20">H93*(1+M$93)</f>
        <v>32241.85</v>
      </c>
      <c r="I94" s="11">
        <v>7425.1424</v>
      </c>
      <c r="J94" s="11">
        <v>78593.7378969908</v>
      </c>
      <c r="K94" s="4">
        <f t="shared" ref="K94:K97" si="21">K93*(1+N$93)</f>
        <v>34820.6</v>
      </c>
    </row>
    <row r="95" spans="1:11">
      <c r="A95" s="1" t="s">
        <v>4</v>
      </c>
      <c r="B95" s="1">
        <v>2037</v>
      </c>
      <c r="C95" s="10">
        <v>7491.7974</v>
      </c>
      <c r="D95" s="11">
        <v>79101.0377083525</v>
      </c>
      <c r="E95" s="3">
        <f t="shared" si="19"/>
        <v>34389.98</v>
      </c>
      <c r="F95" s="11">
        <v>7751.3339</v>
      </c>
      <c r="G95" s="11">
        <v>78771.4016311458</v>
      </c>
      <c r="H95" s="4">
        <f t="shared" si="20"/>
        <v>32241.85</v>
      </c>
      <c r="I95" s="11">
        <v>7409.4571</v>
      </c>
      <c r="J95" s="11">
        <v>80937.7250616329</v>
      </c>
      <c r="K95" s="4">
        <f t="shared" si="21"/>
        <v>34820.6</v>
      </c>
    </row>
    <row r="96" spans="1:11">
      <c r="A96" s="1" t="s">
        <v>4</v>
      </c>
      <c r="B96" s="1">
        <v>2038</v>
      </c>
      <c r="C96" s="10">
        <v>7480.4337</v>
      </c>
      <c r="D96" s="11">
        <v>81064.6602198766</v>
      </c>
      <c r="E96" s="3">
        <f t="shared" si="19"/>
        <v>34389.98</v>
      </c>
      <c r="F96" s="11">
        <v>7751.5838</v>
      </c>
      <c r="G96" s="11">
        <v>80934.4066857034</v>
      </c>
      <c r="H96" s="4">
        <f t="shared" si="20"/>
        <v>32241.85</v>
      </c>
      <c r="I96" s="11">
        <v>7392.9202</v>
      </c>
      <c r="J96" s="11">
        <v>83231.8038483261</v>
      </c>
      <c r="K96" s="4">
        <f t="shared" si="21"/>
        <v>34820.6</v>
      </c>
    </row>
    <row r="97" spans="1:11">
      <c r="A97" s="1" t="s">
        <v>4</v>
      </c>
      <c r="B97" s="1">
        <v>2039</v>
      </c>
      <c r="C97" s="10">
        <v>7467.9523</v>
      </c>
      <c r="D97" s="11">
        <v>82902.2162212756</v>
      </c>
      <c r="E97" s="3">
        <f t="shared" si="19"/>
        <v>34389.98</v>
      </c>
      <c r="F97" s="11">
        <v>7751.4384</v>
      </c>
      <c r="G97" s="11">
        <v>82947.2179698009</v>
      </c>
      <c r="H97" s="4">
        <f t="shared" si="20"/>
        <v>32241.85</v>
      </c>
      <c r="I97" s="11">
        <v>7375.271</v>
      </c>
      <c r="J97" s="11">
        <v>85472.7037456337</v>
      </c>
      <c r="K97" s="4">
        <f t="shared" si="21"/>
        <v>34820.6</v>
      </c>
    </row>
    <row r="98" spans="1:11">
      <c r="A98" s="1" t="s">
        <v>4</v>
      </c>
      <c r="B98" s="1">
        <v>2040</v>
      </c>
      <c r="C98" s="10">
        <v>7454.0873</v>
      </c>
      <c r="D98" s="11">
        <v>84586.7056600003</v>
      </c>
      <c r="E98" s="18">
        <v>35983.38</v>
      </c>
      <c r="F98" s="11">
        <v>7750.6179</v>
      </c>
      <c r="G98" s="11">
        <v>84735.0612869647</v>
      </c>
      <c r="H98" s="17">
        <v>33541.51</v>
      </c>
      <c r="I98" s="11">
        <v>7356.2489</v>
      </c>
      <c r="J98" s="11">
        <v>87657.1542421187</v>
      </c>
      <c r="K98" s="17">
        <v>36542.54</v>
      </c>
    </row>
    <row r="99" spans="1:11">
      <c r="A99" s="1" t="s">
        <v>4</v>
      </c>
      <c r="B99" s="1">
        <v>2041</v>
      </c>
      <c r="C99" s="10">
        <v>7438.6109</v>
      </c>
      <c r="D99" s="11">
        <v>86102.3953902439</v>
      </c>
      <c r="E99" s="3">
        <f t="shared" ref="E99:E102" si="22">E98*(1+$L$98)</f>
        <v>35983.38</v>
      </c>
      <c r="F99" s="11">
        <v>7748.8765</v>
      </c>
      <c r="G99" s="11">
        <v>86246.5750471131</v>
      </c>
      <c r="H99" s="4">
        <f t="shared" ref="H99:H102" si="23">H98*(1+M$98)</f>
        <v>33541.51</v>
      </c>
      <c r="I99" s="11">
        <v>7335.6305</v>
      </c>
      <c r="J99" s="11">
        <v>89780.5671815266</v>
      </c>
      <c r="K99" s="4">
        <f t="shared" ref="K99:K102" si="24">K98*(1+N$98)</f>
        <v>36542.54</v>
      </c>
    </row>
    <row r="100" spans="1:11">
      <c r="A100" s="1" t="s">
        <v>4</v>
      </c>
      <c r="B100" s="1">
        <v>2042</v>
      </c>
      <c r="C100" s="10">
        <v>7421.4485</v>
      </c>
      <c r="D100" s="11">
        <v>87478.6198931704</v>
      </c>
      <c r="E100" s="3">
        <f t="shared" si="22"/>
        <v>35983.38</v>
      </c>
      <c r="F100" s="11">
        <v>7746.1063</v>
      </c>
      <c r="G100" s="11">
        <v>87524.0480857319</v>
      </c>
      <c r="H100" s="4">
        <f t="shared" si="23"/>
        <v>33541.51</v>
      </c>
      <c r="I100" s="11">
        <v>7313.342</v>
      </c>
      <c r="J100" s="11">
        <v>91833.0838283322</v>
      </c>
      <c r="K100" s="4">
        <f t="shared" si="24"/>
        <v>36542.54</v>
      </c>
    </row>
    <row r="101" spans="1:11">
      <c r="A101" s="1" t="s">
        <v>4</v>
      </c>
      <c r="B101" s="1">
        <v>2043</v>
      </c>
      <c r="C101" s="10">
        <v>7402.5635</v>
      </c>
      <c r="D101" s="11">
        <v>88755.9805566867</v>
      </c>
      <c r="E101" s="3">
        <f t="shared" si="22"/>
        <v>35983.38</v>
      </c>
      <c r="F101" s="11">
        <v>7742.2339</v>
      </c>
      <c r="G101" s="11">
        <v>88633.1818446992</v>
      </c>
      <c r="H101" s="4">
        <f t="shared" si="23"/>
        <v>33541.51</v>
      </c>
      <c r="I101" s="11">
        <v>7289.3472</v>
      </c>
      <c r="J101" s="11">
        <v>93803.5278021923</v>
      </c>
      <c r="K101" s="4">
        <f t="shared" si="24"/>
        <v>36542.54</v>
      </c>
    </row>
    <row r="102" spans="1:11">
      <c r="A102" s="1" t="s">
        <v>4</v>
      </c>
      <c r="B102" s="1">
        <v>2044</v>
      </c>
      <c r="C102" s="10">
        <v>7381.9198</v>
      </c>
      <c r="D102" s="11">
        <v>89975.0787686995</v>
      </c>
      <c r="E102" s="3">
        <f t="shared" si="22"/>
        <v>35983.38</v>
      </c>
      <c r="F102" s="11">
        <v>7737.186</v>
      </c>
      <c r="G102" s="11">
        <v>89639.6777658932</v>
      </c>
      <c r="H102" s="4">
        <f t="shared" si="23"/>
        <v>33541.51</v>
      </c>
      <c r="I102" s="11">
        <v>7263.61</v>
      </c>
      <c r="J102" s="11">
        <v>95680.7227227641</v>
      </c>
      <c r="K102" s="4">
        <f t="shared" si="24"/>
        <v>36542.54</v>
      </c>
    </row>
    <row r="103" spans="1:11">
      <c r="A103" s="1" t="s">
        <v>4</v>
      </c>
      <c r="B103" s="1">
        <v>2045</v>
      </c>
      <c r="C103" s="10">
        <v>7359.4812</v>
      </c>
      <c r="D103" s="11">
        <v>91176.5159171155</v>
      </c>
      <c r="E103" s="18">
        <v>36646.35</v>
      </c>
      <c r="F103" s="11">
        <v>7730.8894</v>
      </c>
      <c r="G103" s="11">
        <v>90609.2372911919</v>
      </c>
      <c r="H103" s="17">
        <v>34298.21</v>
      </c>
      <c r="I103" s="11">
        <v>7236.0948</v>
      </c>
      <c r="J103" s="11">
        <v>97453.4922097045</v>
      </c>
      <c r="K103" s="17">
        <v>37469.56</v>
      </c>
    </row>
    <row r="104" spans="1:11">
      <c r="A104" s="1" t="s">
        <v>4</v>
      </c>
      <c r="B104" s="1">
        <v>2046</v>
      </c>
      <c r="C104" s="10">
        <v>7335.2255</v>
      </c>
      <c r="D104" s="11">
        <v>92390.2150299967</v>
      </c>
      <c r="E104" s="3">
        <f t="shared" ref="E104:E107" si="25">E103*(1+$L$103)</f>
        <v>36646.35</v>
      </c>
      <c r="F104" s="11">
        <v>7723.2759</v>
      </c>
      <c r="G104" s="11">
        <v>91593.4735728958</v>
      </c>
      <c r="H104" s="4">
        <f t="shared" ref="H104:H107" si="26">H103*(1+M$103)</f>
        <v>34298.21</v>
      </c>
      <c r="I104" s="11">
        <v>7206.7797</v>
      </c>
      <c r="J104" s="11">
        <v>99121.5302832707</v>
      </c>
      <c r="K104" s="4">
        <f t="shared" ref="K104:K107" si="27">K103*(1+N$103)</f>
        <v>37469.56</v>
      </c>
    </row>
    <row r="105" spans="1:11">
      <c r="A105" s="1" t="s">
        <v>4</v>
      </c>
      <c r="B105" s="1">
        <v>2047</v>
      </c>
      <c r="C105" s="10">
        <v>7309.1865</v>
      </c>
      <c r="D105" s="11">
        <v>93603.3856960256</v>
      </c>
      <c r="E105" s="3">
        <f t="shared" si="25"/>
        <v>36646.35</v>
      </c>
      <c r="F105" s="11">
        <v>7714.2979</v>
      </c>
      <c r="G105" s="11">
        <v>92587.6466049958</v>
      </c>
      <c r="H105" s="4">
        <f t="shared" si="26"/>
        <v>34298.21</v>
      </c>
      <c r="I105" s="11">
        <v>7175.697</v>
      </c>
      <c r="J105" s="11">
        <v>100728.012566121</v>
      </c>
      <c r="K105" s="4">
        <f t="shared" si="27"/>
        <v>37469.56</v>
      </c>
    </row>
    <row r="106" spans="1:11">
      <c r="A106" s="1" t="s">
        <v>4</v>
      </c>
      <c r="B106" s="1">
        <v>2048</v>
      </c>
      <c r="C106" s="10">
        <v>7281.4115</v>
      </c>
      <c r="D106" s="11">
        <v>94792.5591440401</v>
      </c>
      <c r="E106" s="3">
        <f t="shared" si="25"/>
        <v>36646.35</v>
      </c>
      <c r="F106" s="11">
        <v>7703.9137</v>
      </c>
      <c r="G106" s="11">
        <v>93572.9280919055</v>
      </c>
      <c r="H106" s="4">
        <f t="shared" si="26"/>
        <v>34298.21</v>
      </c>
      <c r="I106" s="11">
        <v>7142.8918</v>
      </c>
      <c r="J106" s="11">
        <v>102326.985081514</v>
      </c>
      <c r="K106" s="4">
        <f t="shared" si="27"/>
        <v>37469.56</v>
      </c>
    </row>
    <row r="107" spans="1:11">
      <c r="A107" s="1" t="s">
        <v>4</v>
      </c>
      <c r="B107" s="1">
        <v>2049</v>
      </c>
      <c r="C107" s="10">
        <v>7251.9479</v>
      </c>
      <c r="D107" s="11">
        <v>95934.2666028778</v>
      </c>
      <c r="E107" s="3">
        <f t="shared" si="25"/>
        <v>36646.35</v>
      </c>
      <c r="F107" s="11">
        <v>7692.0815</v>
      </c>
      <c r="G107" s="11">
        <v>94530.489738038</v>
      </c>
      <c r="H107" s="4">
        <f t="shared" si="26"/>
        <v>34298.21</v>
      </c>
      <c r="I107" s="11">
        <v>7108.4089</v>
      </c>
      <c r="J107" s="11">
        <v>103972.493852709</v>
      </c>
      <c r="K107" s="4">
        <f t="shared" si="27"/>
        <v>37469.56</v>
      </c>
    </row>
    <row r="108" spans="1:11">
      <c r="A108" s="1" t="s">
        <v>4</v>
      </c>
      <c r="B108" s="1">
        <v>2050</v>
      </c>
      <c r="C108" s="10">
        <v>7220.8426</v>
      </c>
      <c r="D108" s="11">
        <v>97005.0393013765</v>
      </c>
      <c r="E108" s="18">
        <v>37286.08</v>
      </c>
      <c r="F108" s="11">
        <v>7678.7604</v>
      </c>
      <c r="G108" s="11">
        <v>95441.5032478068</v>
      </c>
      <c r="H108" s="17">
        <v>35025.03</v>
      </c>
      <c r="I108" s="11">
        <v>7072.2926</v>
      </c>
      <c r="J108" s="11">
        <v>105718.584902963</v>
      </c>
      <c r="K108" s="17">
        <v>38375.99</v>
      </c>
    </row>
    <row r="109" spans="1:11">
      <c r="A109" s="1" t="s">
        <v>4</v>
      </c>
      <c r="B109" s="1">
        <v>2051</v>
      </c>
      <c r="C109" s="10">
        <v>7188.1704</v>
      </c>
      <c r="D109" s="11">
        <v>97989.073523406</v>
      </c>
      <c r="E109" s="18">
        <v>37286.08</v>
      </c>
      <c r="F109" s="11">
        <v>7663.968</v>
      </c>
      <c r="G109" s="11">
        <v>96291.5616293731</v>
      </c>
      <c r="H109" s="17">
        <v>35025.03</v>
      </c>
      <c r="I109" s="11">
        <v>7034.6145</v>
      </c>
      <c r="J109" s="11">
        <v>107594.15375389</v>
      </c>
      <c r="K109" s="17">
        <v>38375.99</v>
      </c>
    </row>
    <row r="110" spans="1:11">
      <c r="A110" s="1" t="s">
        <v>4</v>
      </c>
      <c r="B110" s="1">
        <v>2052</v>
      </c>
      <c r="C110" s="10">
        <v>7154.1163</v>
      </c>
      <c r="D110" s="11">
        <v>98901.2257729639</v>
      </c>
      <c r="E110" s="18">
        <v>37286.08</v>
      </c>
      <c r="F110" s="11">
        <v>7647.9559</v>
      </c>
      <c r="G110" s="11">
        <v>97083.9431058889</v>
      </c>
      <c r="H110" s="17">
        <v>35025.03</v>
      </c>
      <c r="I110" s="11">
        <v>6995.5574</v>
      </c>
      <c r="J110" s="11">
        <v>109527.493920516</v>
      </c>
      <c r="K110" s="17">
        <v>38375.99</v>
      </c>
    </row>
    <row r="111" spans="1:11">
      <c r="A111" s="1" t="s">
        <v>4</v>
      </c>
      <c r="B111" s="1">
        <v>2053</v>
      </c>
      <c r="C111" s="10">
        <v>7118.8935</v>
      </c>
      <c r="D111" s="11">
        <v>99764.0176090801</v>
      </c>
      <c r="E111" s="18">
        <v>37286.08</v>
      </c>
      <c r="F111" s="11">
        <v>7631.035</v>
      </c>
      <c r="G111" s="11">
        <v>97826.3472042538</v>
      </c>
      <c r="H111" s="17">
        <v>35025.03</v>
      </c>
      <c r="I111" s="11">
        <v>6955.3316</v>
      </c>
      <c r="J111" s="11">
        <v>111421.748416223</v>
      </c>
      <c r="K111" s="17">
        <v>38375.99</v>
      </c>
    </row>
    <row r="112" spans="1:11">
      <c r="A112" s="1" t="s">
        <v>4</v>
      </c>
      <c r="B112" s="1">
        <v>2054</v>
      </c>
      <c r="C112" s="10">
        <v>7082.7157</v>
      </c>
      <c r="D112" s="11">
        <v>100599.970590784</v>
      </c>
      <c r="E112" s="18">
        <v>37286.08</v>
      </c>
      <c r="F112" s="11">
        <v>7613.518</v>
      </c>
      <c r="G112" s="11">
        <v>98526.4734513675</v>
      </c>
      <c r="H112" s="17">
        <v>35025.03</v>
      </c>
      <c r="I112" s="11">
        <v>6914.1473</v>
      </c>
      <c r="J112" s="11">
        <v>113180.060254392</v>
      </c>
      <c r="K112" s="17">
        <v>38375.99</v>
      </c>
    </row>
    <row r="113" spans="1:11">
      <c r="A113" s="1" t="s">
        <v>4</v>
      </c>
      <c r="B113" s="1">
        <v>2055</v>
      </c>
      <c r="C113" s="10">
        <v>7045.7973</v>
      </c>
      <c r="D113" s="11">
        <v>101431.606277106</v>
      </c>
      <c r="E113" s="18">
        <v>37286.08</v>
      </c>
      <c r="F113" s="11">
        <v>7595.7196</v>
      </c>
      <c r="G113" s="11">
        <v>99192.0213741297</v>
      </c>
      <c r="H113" s="17">
        <v>35025.03</v>
      </c>
      <c r="I113" s="11">
        <v>6872.2148</v>
      </c>
      <c r="J113" s="11">
        <v>114705.572448403</v>
      </c>
      <c r="K113" s="17">
        <v>38375.99</v>
      </c>
    </row>
    <row r="114" spans="1:11">
      <c r="A114" s="1" t="s">
        <v>4</v>
      </c>
      <c r="B114" s="1">
        <v>2056</v>
      </c>
      <c r="C114" s="10">
        <v>7008.3342</v>
      </c>
      <c r="D114" s="11">
        <v>102276.855014842</v>
      </c>
      <c r="E114" s="18">
        <v>37286.08</v>
      </c>
      <c r="F114" s="11">
        <v>7577.9288</v>
      </c>
      <c r="G114" s="11">
        <v>99833.7082338333</v>
      </c>
      <c r="H114" s="17">
        <v>35025.03</v>
      </c>
      <c r="I114" s="11">
        <v>6829.725</v>
      </c>
      <c r="J114" s="11">
        <v>115951.827711687</v>
      </c>
      <c r="K114" s="17">
        <v>38375.99</v>
      </c>
    </row>
    <row r="115" spans="1:11">
      <c r="A115" s="1" t="s">
        <v>4</v>
      </c>
      <c r="B115" s="1">
        <v>2057</v>
      </c>
      <c r="C115" s="10">
        <v>6970.4436</v>
      </c>
      <c r="D115" s="11">
        <v>103135.282301851</v>
      </c>
      <c r="E115" s="18">
        <v>37286.08</v>
      </c>
      <c r="F115" s="11">
        <v>7560.3261</v>
      </c>
      <c r="G115" s="11">
        <v>100474.322229345</v>
      </c>
      <c r="H115" s="17">
        <v>35025.03</v>
      </c>
      <c r="I115" s="11">
        <v>6786.79</v>
      </c>
      <c r="J115" s="11">
        <v>117073.96755787</v>
      </c>
      <c r="K115" s="17">
        <v>38375.99</v>
      </c>
    </row>
    <row r="116" spans="1:11">
      <c r="A116" s="1" t="s">
        <v>4</v>
      </c>
      <c r="B116" s="1">
        <v>2058</v>
      </c>
      <c r="C116" s="10">
        <v>6932.2243</v>
      </c>
      <c r="D116" s="11">
        <v>104001.862423759</v>
      </c>
      <c r="E116" s="18">
        <v>37286.08</v>
      </c>
      <c r="F116" s="11">
        <v>7543.0653</v>
      </c>
      <c r="G116" s="11">
        <v>101139.669293923</v>
      </c>
      <c r="H116" s="17">
        <v>35025.03</v>
      </c>
      <c r="I116" s="11">
        <v>6743.503</v>
      </c>
      <c r="J116" s="11">
        <v>118277.533200626</v>
      </c>
      <c r="K116" s="17">
        <v>38375.99</v>
      </c>
    </row>
    <row r="117" spans="1:11">
      <c r="A117" s="1" t="s">
        <v>4</v>
      </c>
      <c r="B117" s="1">
        <v>2059</v>
      </c>
      <c r="C117" s="10">
        <v>6893.7767</v>
      </c>
      <c r="D117" s="11">
        <v>104871.569666191</v>
      </c>
      <c r="E117" s="18">
        <v>37286.08</v>
      </c>
      <c r="F117" s="11">
        <v>7526.3013</v>
      </c>
      <c r="G117" s="11">
        <v>101855.555360828</v>
      </c>
      <c r="H117" s="17">
        <v>35025.03</v>
      </c>
      <c r="I117" s="11">
        <v>6699.9585</v>
      </c>
      <c r="J117" s="11">
        <v>119768.06585363</v>
      </c>
      <c r="K117" s="17">
        <v>38375.99</v>
      </c>
    </row>
    <row r="118" spans="1:11">
      <c r="A118" s="1" t="s">
        <v>4</v>
      </c>
      <c r="B118" s="1">
        <v>2060</v>
      </c>
      <c r="C118" s="10">
        <v>6855.2037</v>
      </c>
      <c r="D118" s="11">
        <v>105739.378314774</v>
      </c>
      <c r="E118" s="18">
        <v>37286.08</v>
      </c>
      <c r="F118" s="11">
        <v>7510.1899</v>
      </c>
      <c r="G118" s="11">
        <v>102647.786363319</v>
      </c>
      <c r="H118" s="17">
        <v>35025.03</v>
      </c>
      <c r="I118" s="11">
        <v>6656.2524</v>
      </c>
      <c r="J118" s="11">
        <v>121751.106730556</v>
      </c>
      <c r="K118" s="17">
        <v>38375.99</v>
      </c>
    </row>
    <row r="119" spans="1:11">
      <c r="A119" s="1" t="s">
        <v>4</v>
      </c>
      <c r="B119" s="1">
        <v>2061</v>
      </c>
      <c r="C119" s="10">
        <v>6816.575</v>
      </c>
      <c r="D119" s="11">
        <v>106602.205121293</v>
      </c>
      <c r="E119" s="18">
        <v>37286.08</v>
      </c>
      <c r="F119" s="11">
        <v>7494.8633</v>
      </c>
      <c r="G119" s="11">
        <v>103526.761250668</v>
      </c>
      <c r="H119" s="17">
        <v>35025.03</v>
      </c>
      <c r="I119" s="11">
        <v>6612.4497</v>
      </c>
      <c r="J119" s="11">
        <v>124351.725522444</v>
      </c>
      <c r="K119" s="17">
        <v>38375.99</v>
      </c>
    </row>
    <row r="120" spans="1:11">
      <c r="A120" s="1" t="s">
        <v>4</v>
      </c>
      <c r="B120" s="1">
        <v>2062</v>
      </c>
      <c r="C120" s="10">
        <v>6777.82</v>
      </c>
      <c r="D120" s="11">
        <v>107464.736702178</v>
      </c>
      <c r="E120" s="18">
        <v>37286.08</v>
      </c>
      <c r="F120" s="11">
        <v>7480.3547</v>
      </c>
      <c r="G120" s="11">
        <v>104441.251036201</v>
      </c>
      <c r="H120" s="17">
        <v>35025.03</v>
      </c>
      <c r="I120" s="11">
        <v>6568.4848</v>
      </c>
      <c r="J120" s="11">
        <v>127373.105829779</v>
      </c>
      <c r="K120" s="17">
        <v>38375.99</v>
      </c>
    </row>
    <row r="121" spans="1:11">
      <c r="A121" s="1" t="s">
        <v>4</v>
      </c>
      <c r="B121" s="1">
        <v>2063</v>
      </c>
      <c r="C121" s="10">
        <v>6738.8302</v>
      </c>
      <c r="D121" s="11">
        <v>108333.602140018</v>
      </c>
      <c r="E121" s="18">
        <v>37286.08</v>
      </c>
      <c r="F121" s="11">
        <v>7466.6707</v>
      </c>
      <c r="G121" s="11">
        <v>105324.619749253</v>
      </c>
      <c r="H121" s="17">
        <v>35025.03</v>
      </c>
      <c r="I121" s="11">
        <v>6524.258</v>
      </c>
      <c r="J121" s="11">
        <v>130537.959730415</v>
      </c>
      <c r="K121" s="17">
        <v>38375.99</v>
      </c>
    </row>
    <row r="122" spans="1:11">
      <c r="A122" s="1" t="s">
        <v>4</v>
      </c>
      <c r="B122" s="1">
        <v>2064</v>
      </c>
      <c r="C122" s="10">
        <v>6699.4937</v>
      </c>
      <c r="D122" s="11">
        <v>109215.430517401</v>
      </c>
      <c r="E122" s="18">
        <v>37286.08</v>
      </c>
      <c r="F122" s="11">
        <v>7453.8149</v>
      </c>
      <c r="G122" s="11">
        <v>106110.231419163</v>
      </c>
      <c r="H122" s="17">
        <v>35025.03</v>
      </c>
      <c r="I122" s="11">
        <v>6479.6671</v>
      </c>
      <c r="J122" s="11">
        <v>133568.999302201</v>
      </c>
      <c r="K122" s="17">
        <v>38375.99</v>
      </c>
    </row>
    <row r="123" spans="1:11">
      <c r="A123" s="1" t="s">
        <v>4</v>
      </c>
      <c r="B123" s="1">
        <v>2065</v>
      </c>
      <c r="C123" s="10">
        <v>6659.6944</v>
      </c>
      <c r="D123" s="11">
        <v>110116.850916919</v>
      </c>
      <c r="E123" s="18">
        <v>37286.08</v>
      </c>
      <c r="F123" s="11">
        <v>7441.7876</v>
      </c>
      <c r="G123" s="11">
        <v>106731.450075268</v>
      </c>
      <c r="H123" s="17">
        <v>35025.03</v>
      </c>
      <c r="I123" s="11">
        <v>6434.6066</v>
      </c>
      <c r="J123" s="11">
        <v>136188.936622989</v>
      </c>
      <c r="K123" s="17">
        <v>38375.99</v>
      </c>
    </row>
    <row r="124" spans="1:11">
      <c r="A124" s="1" t="s">
        <v>4</v>
      </c>
      <c r="B124" s="1">
        <v>2066</v>
      </c>
      <c r="C124" s="10">
        <v>6619.3743</v>
      </c>
      <c r="D124" s="11">
        <v>111036.459415019</v>
      </c>
      <c r="E124" s="18">
        <v>37286.08</v>
      </c>
      <c r="F124" s="11">
        <v>7430.553</v>
      </c>
      <c r="G124" s="11">
        <v>107139.684761515</v>
      </c>
      <c r="H124" s="17">
        <v>35025.03</v>
      </c>
      <c r="I124" s="11">
        <v>6389.0285</v>
      </c>
      <c r="J124" s="11">
        <v>138195.561209226</v>
      </c>
      <c r="K124" s="17">
        <v>38375.99</v>
      </c>
    </row>
    <row r="125" spans="1:11">
      <c r="A125" s="1" t="s">
        <v>4</v>
      </c>
      <c r="B125" s="1">
        <v>2067</v>
      </c>
      <c r="C125" s="10">
        <v>6578.7244</v>
      </c>
      <c r="D125" s="11">
        <v>111940.720063585</v>
      </c>
      <c r="E125" s="18">
        <v>37286.08</v>
      </c>
      <c r="F125" s="11">
        <v>7419.9411</v>
      </c>
      <c r="G125" s="11">
        <v>107358.524580283</v>
      </c>
      <c r="H125" s="17">
        <v>35025.03</v>
      </c>
      <c r="I125" s="11">
        <v>6343.128</v>
      </c>
      <c r="J125" s="11">
        <v>139686.972331748</v>
      </c>
      <c r="K125" s="17">
        <v>38375.99</v>
      </c>
    </row>
    <row r="126" spans="1:11">
      <c r="A126" s="1" t="s">
        <v>4</v>
      </c>
      <c r="B126" s="1">
        <v>2068</v>
      </c>
      <c r="C126" s="10">
        <v>6537.9981</v>
      </c>
      <c r="D126" s="11">
        <v>112788.063908361</v>
      </c>
      <c r="E126" s="18">
        <v>37286.08</v>
      </c>
      <c r="F126" s="11">
        <v>7409.7442</v>
      </c>
      <c r="G126" s="11">
        <v>107429.603648562</v>
      </c>
      <c r="H126" s="17">
        <v>35025.03</v>
      </c>
      <c r="I126" s="11">
        <v>6297.1615</v>
      </c>
      <c r="J126" s="11">
        <v>140836.346699987</v>
      </c>
      <c r="K126" s="17">
        <v>38375.99</v>
      </c>
    </row>
    <row r="127" spans="1:11">
      <c r="A127" s="1" t="s">
        <v>4</v>
      </c>
      <c r="B127" s="1">
        <v>2069</v>
      </c>
      <c r="C127" s="10">
        <v>6497.4479</v>
      </c>
      <c r="D127" s="11">
        <v>113536.921995092</v>
      </c>
      <c r="E127" s="18">
        <v>37286.08</v>
      </c>
      <c r="F127" s="11">
        <v>7399.7491</v>
      </c>
      <c r="G127" s="11">
        <v>107394.556083343</v>
      </c>
      <c r="H127" s="17">
        <v>35025.03</v>
      </c>
      <c r="I127" s="11">
        <v>6251.3869</v>
      </c>
      <c r="J127" s="11">
        <v>141816.861023375</v>
      </c>
      <c r="K127" s="17">
        <v>38375.99</v>
      </c>
    </row>
    <row r="128" spans="1:11">
      <c r="A128" s="1" t="s">
        <v>4</v>
      </c>
      <c r="B128" s="1">
        <v>2070</v>
      </c>
      <c r="C128" s="10">
        <v>6457.3257</v>
      </c>
      <c r="D128" s="11">
        <v>114145.72536952</v>
      </c>
      <c r="E128" s="18">
        <v>37286.08</v>
      </c>
      <c r="F128" s="11">
        <v>7389.7369</v>
      </c>
      <c r="G128" s="11">
        <v>107295.016001613</v>
      </c>
      <c r="H128" s="17">
        <v>35025.03</v>
      </c>
      <c r="I128" s="11">
        <v>6206.063</v>
      </c>
      <c r="J128" s="11">
        <v>142801.692011344</v>
      </c>
      <c r="K128" s="17">
        <v>38375.99</v>
      </c>
    </row>
    <row r="129" spans="1:11">
      <c r="A129" s="1" t="s">
        <v>4</v>
      </c>
      <c r="B129" s="1">
        <v>2071</v>
      </c>
      <c r="C129" s="10">
        <v>6417.7807</v>
      </c>
      <c r="D129" s="11">
        <v>114590.752772423</v>
      </c>
      <c r="E129" s="18">
        <v>37286.08</v>
      </c>
      <c r="F129" s="11">
        <v>7379.5188</v>
      </c>
      <c r="G129" s="11">
        <v>107172.434129058</v>
      </c>
      <c r="H129" s="17">
        <v>35025.03</v>
      </c>
      <c r="I129" s="11">
        <v>6161.347</v>
      </c>
      <c r="J129" s="11">
        <v>143935.039642004</v>
      </c>
      <c r="K129" s="17">
        <v>38375.99</v>
      </c>
    </row>
    <row r="130" spans="1:11">
      <c r="A130" s="1" t="s">
        <v>4</v>
      </c>
      <c r="B130" s="1">
        <v>2072</v>
      </c>
      <c r="C130" s="10">
        <v>6378.5534</v>
      </c>
      <c r="D130" s="11">
        <v>114919.673724713</v>
      </c>
      <c r="E130" s="18">
        <v>37286.08</v>
      </c>
      <c r="F130" s="11">
        <v>7369.045</v>
      </c>
      <c r="G130" s="11">
        <v>107067.527626138</v>
      </c>
      <c r="H130" s="17">
        <v>35025.03</v>
      </c>
      <c r="I130" s="11">
        <v>6116.9851</v>
      </c>
      <c r="J130" s="11">
        <v>145245.196968177</v>
      </c>
      <c r="K130" s="17">
        <v>38375.99</v>
      </c>
    </row>
    <row r="131" spans="1:11">
      <c r="A131" s="1" t="s">
        <v>4</v>
      </c>
      <c r="B131" s="1">
        <v>2073</v>
      </c>
      <c r="C131" s="10">
        <v>6339.2809</v>
      </c>
      <c r="D131" s="11">
        <v>115198.005442337</v>
      </c>
      <c r="E131" s="18">
        <v>37286.08</v>
      </c>
      <c r="F131" s="11">
        <v>7358.3026</v>
      </c>
      <c r="G131" s="11">
        <v>107020.830262011</v>
      </c>
      <c r="H131" s="17">
        <v>35025.03</v>
      </c>
      <c r="I131" s="11">
        <v>6072.6188</v>
      </c>
      <c r="J131" s="11">
        <v>146731.480311361</v>
      </c>
      <c r="K131" s="17">
        <v>38375.99</v>
      </c>
    </row>
    <row r="132" spans="1:11">
      <c r="A132" s="1" t="s">
        <v>4</v>
      </c>
      <c r="B132" s="1">
        <v>2074</v>
      </c>
      <c r="C132" s="10">
        <v>6299.5989</v>
      </c>
      <c r="D132" s="11">
        <v>115491.265141239</v>
      </c>
      <c r="E132" s="18">
        <v>37286.08</v>
      </c>
      <c r="F132" s="11">
        <v>7347.2815</v>
      </c>
      <c r="G132" s="11">
        <v>107072.875805833</v>
      </c>
      <c r="H132" s="17">
        <v>35025.03</v>
      </c>
      <c r="I132" s="11">
        <v>6027.8871</v>
      </c>
      <c r="J132" s="11">
        <v>148393.205993056</v>
      </c>
      <c r="K132" s="17">
        <v>38375.99</v>
      </c>
    </row>
    <row r="133" spans="1:11">
      <c r="A133" s="1" t="s">
        <v>4</v>
      </c>
      <c r="B133" s="1">
        <v>2075</v>
      </c>
      <c r="C133" s="10">
        <v>6259.1417</v>
      </c>
      <c r="D133" s="11">
        <v>115864.970037368</v>
      </c>
      <c r="E133" s="18">
        <v>37286.08</v>
      </c>
      <c r="F133" s="11">
        <v>7335.9736</v>
      </c>
      <c r="G133" s="11">
        <v>107264.198026759</v>
      </c>
      <c r="H133" s="17">
        <v>35025.03</v>
      </c>
      <c r="I133" s="11">
        <v>5982.4272</v>
      </c>
      <c r="J133" s="11">
        <v>150229.690334761</v>
      </c>
      <c r="K133" s="17">
        <v>38375.99</v>
      </c>
    </row>
    <row r="134" spans="1:11">
      <c r="A134" s="1" t="s">
        <v>4</v>
      </c>
      <c r="B134" s="1">
        <v>2076</v>
      </c>
      <c r="C134" s="10">
        <v>6217.5159</v>
      </c>
      <c r="D134" s="11">
        <v>116359.860961156</v>
      </c>
      <c r="E134" s="18">
        <v>37286.08</v>
      </c>
      <c r="F134" s="11">
        <v>7324.3866</v>
      </c>
      <c r="G134" s="11">
        <v>107617.183683891</v>
      </c>
      <c r="H134" s="17">
        <v>35025.03</v>
      </c>
      <c r="I134" s="11">
        <v>5935.8504</v>
      </c>
      <c r="J134" s="11">
        <v>152219.044241229</v>
      </c>
      <c r="K134" s="17">
        <v>38375.99</v>
      </c>
    </row>
    <row r="135" spans="1:11">
      <c r="A135" s="1" t="s">
        <v>4</v>
      </c>
      <c r="B135" s="1">
        <v>2077</v>
      </c>
      <c r="C135" s="10">
        <v>6174.2246</v>
      </c>
      <c r="D135" s="11">
        <v>116917.573200992</v>
      </c>
      <c r="E135" s="18">
        <v>37286.08</v>
      </c>
      <c r="F135" s="11">
        <v>7312.5862</v>
      </c>
      <c r="G135" s="11">
        <v>108081.63149611</v>
      </c>
      <c r="H135" s="17">
        <v>35025.03</v>
      </c>
      <c r="I135" s="11">
        <v>5887.6731</v>
      </c>
      <c r="J135" s="11">
        <v>154254.556950235</v>
      </c>
      <c r="K135" s="17">
        <v>38375.99</v>
      </c>
    </row>
    <row r="136" spans="1:11">
      <c r="A136" s="1" t="s">
        <v>4</v>
      </c>
      <c r="B136" s="1">
        <v>2078</v>
      </c>
      <c r="C136" s="10">
        <v>6128.7506</v>
      </c>
      <c r="D136" s="11">
        <v>117454.965659754</v>
      </c>
      <c r="E136" s="18">
        <v>37286.08</v>
      </c>
      <c r="F136" s="11">
        <v>7300.6581</v>
      </c>
      <c r="G136" s="11">
        <v>108589.193172239</v>
      </c>
      <c r="H136" s="17">
        <v>35025.03</v>
      </c>
      <c r="I136" s="11">
        <v>5837.3909</v>
      </c>
      <c r="J136" s="11">
        <v>156208.312282807</v>
      </c>
      <c r="K136" s="17">
        <v>38375.99</v>
      </c>
    </row>
    <row r="137" spans="1:11">
      <c r="A137" s="1" t="s">
        <v>4</v>
      </c>
      <c r="B137" s="1">
        <v>2079</v>
      </c>
      <c r="C137" s="10">
        <v>6080.5835</v>
      </c>
      <c r="D137" s="11">
        <v>117888.897240319</v>
      </c>
      <c r="E137" s="18">
        <v>37286.08</v>
      </c>
      <c r="F137" s="11">
        <v>7288.6963</v>
      </c>
      <c r="G137" s="11">
        <v>109071.520421103</v>
      </c>
      <c r="H137" s="17">
        <v>35025.03</v>
      </c>
      <c r="I137" s="11">
        <v>5784.5026</v>
      </c>
      <c r="J137" s="11">
        <v>157952.394059974</v>
      </c>
      <c r="K137" s="17">
        <v>38375.99</v>
      </c>
    </row>
    <row r="138" spans="1:11">
      <c r="A138" s="1" t="s">
        <v>4</v>
      </c>
      <c r="B138" s="1">
        <v>2080</v>
      </c>
      <c r="C138" s="10">
        <v>6029.2211</v>
      </c>
      <c r="D138" s="11">
        <v>118136.226845563</v>
      </c>
      <c r="E138" s="18">
        <v>37286.08</v>
      </c>
      <c r="F138" s="11">
        <v>7276.8037</v>
      </c>
      <c r="G138" s="11">
        <v>109460.264951528</v>
      </c>
      <c r="H138" s="17">
        <v>35025.03</v>
      </c>
      <c r="I138" s="11">
        <v>5728.5112</v>
      </c>
      <c r="J138" s="11">
        <v>159358.886102765</v>
      </c>
      <c r="K138" s="17">
        <v>38375.99</v>
      </c>
    </row>
    <row r="139" spans="1:11">
      <c r="A139" s="1" t="s">
        <v>4</v>
      </c>
      <c r="B139" s="1">
        <v>2081</v>
      </c>
      <c r="C139" s="10">
        <v>5974.4259</v>
      </c>
      <c r="D139" s="11">
        <v>118140.200447201</v>
      </c>
      <c r="E139" s="18">
        <v>37286.08</v>
      </c>
      <c r="F139" s="11">
        <v>7265.1343</v>
      </c>
      <c r="G139" s="11">
        <v>109703.617067958</v>
      </c>
      <c r="H139" s="17">
        <v>35025.03</v>
      </c>
      <c r="I139" s="11">
        <v>5669.174</v>
      </c>
      <c r="J139" s="11">
        <v>160342.163639921</v>
      </c>
      <c r="K139" s="17">
        <v>38375.99</v>
      </c>
    </row>
    <row r="140" spans="1:11">
      <c r="A140" s="1" t="s">
        <v>4</v>
      </c>
      <c r="B140" s="1">
        <v>2082</v>
      </c>
      <c r="C140" s="10">
        <v>5916.9863</v>
      </c>
      <c r="D140" s="11">
        <v>117949.612292293</v>
      </c>
      <c r="E140" s="18">
        <v>37286.08</v>
      </c>
      <c r="F140" s="11">
        <v>7254.0123</v>
      </c>
      <c r="G140" s="11">
        <v>109815.921457313</v>
      </c>
      <c r="H140" s="17">
        <v>35025.03</v>
      </c>
      <c r="I140" s="11">
        <v>5607.2488</v>
      </c>
      <c r="J140" s="11">
        <v>160985.767531038</v>
      </c>
      <c r="K140" s="17">
        <v>38375.99</v>
      </c>
    </row>
    <row r="141" spans="1:11">
      <c r="A141" s="1" t="s">
        <v>4</v>
      </c>
      <c r="B141" s="1">
        <v>2083</v>
      </c>
      <c r="C141" s="10">
        <v>5857.9434</v>
      </c>
      <c r="D141" s="11">
        <v>117639.643696737</v>
      </c>
      <c r="E141" s="18">
        <v>37286.08</v>
      </c>
      <c r="F141" s="11">
        <v>7243.8006</v>
      </c>
      <c r="G141" s="11">
        <v>109828.061402133</v>
      </c>
      <c r="H141" s="17">
        <v>35025.03</v>
      </c>
      <c r="I141" s="11">
        <v>5543.7425</v>
      </c>
      <c r="J141" s="11">
        <v>161415.530043425</v>
      </c>
      <c r="K141" s="17">
        <v>38375.99</v>
      </c>
    </row>
    <row r="142" spans="1:11">
      <c r="A142" s="1" t="s">
        <v>4</v>
      </c>
      <c r="B142" s="1">
        <v>2084</v>
      </c>
      <c r="C142" s="10">
        <v>5798.3334</v>
      </c>
      <c r="D142" s="11">
        <v>117285.47597643</v>
      </c>
      <c r="E142" s="18">
        <v>37286.08</v>
      </c>
      <c r="F142" s="11">
        <v>7234.8577</v>
      </c>
      <c r="G142" s="11">
        <v>109770.920184959</v>
      </c>
      <c r="H142" s="17">
        <v>35025.03</v>
      </c>
      <c r="I142" s="11">
        <v>5479.6606</v>
      </c>
      <c r="J142" s="11">
        <v>161757.283444391</v>
      </c>
      <c r="K142" s="17">
        <v>38375.99</v>
      </c>
    </row>
    <row r="143" spans="1:11">
      <c r="A143" s="1" t="s">
        <v>4</v>
      </c>
      <c r="B143" s="1">
        <v>2085</v>
      </c>
      <c r="C143" s="10">
        <v>5739.1856</v>
      </c>
      <c r="D143" s="11">
        <v>116962.290447271</v>
      </c>
      <c r="E143" s="18">
        <v>37286.08</v>
      </c>
      <c r="F143" s="11">
        <v>7227.5363</v>
      </c>
      <c r="G143" s="11">
        <v>109675.381088331</v>
      </c>
      <c r="H143" s="17">
        <v>35025.03</v>
      </c>
      <c r="I143" s="11">
        <v>5416.0064</v>
      </c>
      <c r="J143" s="11">
        <v>162136.860001246</v>
      </c>
      <c r="K143" s="17">
        <v>38375.99</v>
      </c>
    </row>
    <row r="144" spans="1:11">
      <c r="A144" s="1" t="s">
        <v>4</v>
      </c>
      <c r="B144" s="1">
        <v>2086</v>
      </c>
      <c r="C144" s="10">
        <v>5681.2872</v>
      </c>
      <c r="D144" s="11">
        <v>116723.604139679</v>
      </c>
      <c r="E144" s="18">
        <v>37286.08</v>
      </c>
      <c r="F144" s="11">
        <v>7222.0302</v>
      </c>
      <c r="G144" s="11">
        <v>109570.524728844</v>
      </c>
      <c r="H144" s="17">
        <v>35025.03</v>
      </c>
      <c r="I144" s="11">
        <v>5353.5595</v>
      </c>
      <c r="J144" s="11">
        <v>162653.936450603</v>
      </c>
      <c r="K144" s="17">
        <v>38375.99</v>
      </c>
    </row>
    <row r="145" spans="1:11">
      <c r="A145" s="1" t="s">
        <v>4</v>
      </c>
      <c r="B145" s="1">
        <v>2087</v>
      </c>
      <c r="C145" s="10">
        <v>5624.4752</v>
      </c>
      <c r="D145" s="11">
        <v>116536.276942159</v>
      </c>
      <c r="E145" s="18">
        <v>37286.08</v>
      </c>
      <c r="F145" s="11">
        <v>7217.9126</v>
      </c>
      <c r="G145" s="11">
        <v>109478.221059313</v>
      </c>
      <c r="H145" s="17">
        <v>35025.03</v>
      </c>
      <c r="I145" s="11">
        <v>5292.2095</v>
      </c>
      <c r="J145" s="11">
        <v>163303.567406303</v>
      </c>
      <c r="K145" s="17">
        <v>38375.99</v>
      </c>
    </row>
    <row r="146" spans="1:11">
      <c r="A146" s="1" t="s">
        <v>4</v>
      </c>
      <c r="B146" s="1">
        <v>2088</v>
      </c>
      <c r="C146" s="10">
        <v>5568.3315</v>
      </c>
      <c r="D146" s="11">
        <v>116345.504457738</v>
      </c>
      <c r="E146" s="18">
        <v>37286.08</v>
      </c>
      <c r="F146" s="11">
        <v>7214.5844</v>
      </c>
      <c r="G146" s="11">
        <v>109418.537366608</v>
      </c>
      <c r="H146" s="17">
        <v>35025.03</v>
      </c>
      <c r="I146" s="11">
        <v>5231.6085</v>
      </c>
      <c r="J146" s="11">
        <v>164054.65195149</v>
      </c>
      <c r="K146" s="17">
        <v>38375.99</v>
      </c>
    </row>
    <row r="147" spans="1:11">
      <c r="A147" s="1" t="s">
        <v>4</v>
      </c>
      <c r="B147" s="1">
        <v>2089</v>
      </c>
      <c r="C147" s="10">
        <v>5512.4167</v>
      </c>
      <c r="D147" s="11">
        <v>116096.482289443</v>
      </c>
      <c r="E147" s="18">
        <v>37286.08</v>
      </c>
      <c r="F147" s="11">
        <v>7211.4255</v>
      </c>
      <c r="G147" s="11">
        <v>109411.540937601</v>
      </c>
      <c r="H147" s="17">
        <v>35025.03</v>
      </c>
      <c r="I147" s="11">
        <v>5171.3915</v>
      </c>
      <c r="J147" s="11">
        <v>164876.08916931</v>
      </c>
      <c r="K147" s="17">
        <v>38375.99</v>
      </c>
    </row>
    <row r="148" spans="1:11">
      <c r="A148" s="1" t="s">
        <v>4</v>
      </c>
      <c r="B148" s="1">
        <v>2090</v>
      </c>
      <c r="C148" s="10">
        <v>5456.2711</v>
      </c>
      <c r="D148" s="11">
        <v>115734.406040301</v>
      </c>
      <c r="E148" s="18">
        <v>37286.08</v>
      </c>
      <c r="F148" s="11">
        <v>7207.7958</v>
      </c>
      <c r="G148" s="11">
        <v>109477.299059161</v>
      </c>
      <c r="H148" s="17">
        <v>35025.03</v>
      </c>
      <c r="I148" s="11">
        <v>5111.1775</v>
      </c>
      <c r="J148" s="11">
        <v>165736.778142909</v>
      </c>
      <c r="K148" s="17">
        <v>38375.99</v>
      </c>
    </row>
    <row r="149" spans="1:11">
      <c r="A149" s="1" t="s">
        <v>4</v>
      </c>
      <c r="B149" s="1">
        <v>2091</v>
      </c>
      <c r="C149" s="10">
        <v>5399.6599</v>
      </c>
      <c r="D149" s="11">
        <v>115220.860667796</v>
      </c>
      <c r="E149" s="18">
        <v>37286.08</v>
      </c>
      <c r="F149" s="11">
        <v>7203.238</v>
      </c>
      <c r="G149" s="11">
        <v>109626.534238782</v>
      </c>
      <c r="H149" s="17">
        <v>35025.03</v>
      </c>
      <c r="I149" s="11">
        <v>5050.7907</v>
      </c>
      <c r="J149" s="11">
        <v>166613.185819575</v>
      </c>
      <c r="K149" s="17">
        <v>38375.99</v>
      </c>
    </row>
    <row r="150" spans="1:11">
      <c r="A150" s="1" t="s">
        <v>4</v>
      </c>
      <c r="B150" s="1">
        <v>2092</v>
      </c>
      <c r="C150" s="10">
        <v>5343.3166</v>
      </c>
      <c r="D150" s="11">
        <v>114582.988547239</v>
      </c>
      <c r="E150" s="18">
        <v>37286.08</v>
      </c>
      <c r="F150" s="11">
        <v>7198.0932</v>
      </c>
      <c r="G150" s="11">
        <v>109832.589866456</v>
      </c>
      <c r="H150" s="17">
        <v>35025.03</v>
      </c>
      <c r="I150" s="11">
        <v>4990.9316</v>
      </c>
      <c r="J150" s="11">
        <v>167512.050603175</v>
      </c>
      <c r="K150" s="17">
        <v>38375.99</v>
      </c>
    </row>
    <row r="151" spans="1:11">
      <c r="A151" s="1" t="s">
        <v>4</v>
      </c>
      <c r="B151" s="1">
        <v>2093</v>
      </c>
      <c r="C151" s="10">
        <v>5288.2448</v>
      </c>
      <c r="D151" s="11">
        <v>113864.321408397</v>
      </c>
      <c r="E151" s="18">
        <v>37286.08</v>
      </c>
      <c r="F151" s="11">
        <v>7192.921</v>
      </c>
      <c r="G151" s="11">
        <v>110059.464552795</v>
      </c>
      <c r="H151" s="17">
        <v>35025.03</v>
      </c>
      <c r="I151" s="11">
        <v>4932.5448</v>
      </c>
      <c r="J151" s="11">
        <v>168447.67876172</v>
      </c>
      <c r="K151" s="17">
        <v>38375.99</v>
      </c>
    </row>
    <row r="152" spans="1:11">
      <c r="A152" s="1" t="s">
        <v>4</v>
      </c>
      <c r="B152" s="1">
        <v>2094</v>
      </c>
      <c r="C152" s="10">
        <v>5235.4765</v>
      </c>
      <c r="D152" s="11">
        <v>113108.390981039</v>
      </c>
      <c r="E152" s="18">
        <v>37286.08</v>
      </c>
      <c r="F152" s="11">
        <v>7188.3005</v>
      </c>
      <c r="G152" s="11">
        <v>110271.156908415</v>
      </c>
      <c r="H152" s="17">
        <v>35025.03</v>
      </c>
      <c r="I152" s="11">
        <v>4876.6016</v>
      </c>
      <c r="J152" s="11">
        <v>169434.37656322</v>
      </c>
      <c r="K152" s="17">
        <v>38375.99</v>
      </c>
    </row>
    <row r="153" spans="1:11">
      <c r="A153" s="1" t="s">
        <v>4</v>
      </c>
      <c r="B153" s="1">
        <v>2095</v>
      </c>
      <c r="C153" s="10">
        <v>5186.0693</v>
      </c>
      <c r="D153" s="11">
        <v>112358.728994932</v>
      </c>
      <c r="E153" s="18">
        <v>37286.08</v>
      </c>
      <c r="F153" s="11">
        <v>7184.8288</v>
      </c>
      <c r="G153" s="11">
        <v>110431.665543931</v>
      </c>
      <c r="H153" s="17">
        <v>35025.03</v>
      </c>
      <c r="I153" s="11">
        <v>4824.0966</v>
      </c>
      <c r="J153" s="11">
        <v>170486.450275684</v>
      </c>
      <c r="K153" s="17">
        <v>38375.99</v>
      </c>
    </row>
    <row r="154" spans="1:11">
      <c r="A154" s="1" t="s">
        <v>4</v>
      </c>
      <c r="B154" s="1">
        <v>2096</v>
      </c>
      <c r="C154" s="10">
        <v>5141.1023</v>
      </c>
      <c r="D154" s="11">
        <v>111658.867179844</v>
      </c>
      <c r="E154" s="18">
        <v>37286.08</v>
      </c>
      <c r="F154" s="11">
        <v>7183.119</v>
      </c>
      <c r="G154" s="11">
        <v>110504.989069955</v>
      </c>
      <c r="H154" s="17">
        <v>35025.03</v>
      </c>
      <c r="I154" s="11">
        <v>4776.0441</v>
      </c>
      <c r="J154" s="11">
        <v>171618.206167124</v>
      </c>
      <c r="K154" s="17">
        <v>38375.99</v>
      </c>
    </row>
    <row r="155" spans="1:11">
      <c r="A155" s="1" t="s">
        <v>4</v>
      </c>
      <c r="B155" s="1">
        <v>2097</v>
      </c>
      <c r="C155" s="10">
        <v>5101.673</v>
      </c>
      <c r="D155" s="11">
        <v>111052.337265542</v>
      </c>
      <c r="E155" s="18">
        <v>37286.08</v>
      </c>
      <c r="F155" s="11">
        <v>7183.7991</v>
      </c>
      <c r="G155" s="11">
        <v>110455.126097103</v>
      </c>
      <c r="H155" s="17">
        <v>35025.03</v>
      </c>
      <c r="I155" s="11">
        <v>4733.4748</v>
      </c>
      <c r="J155" s="11">
        <v>172843.950505549</v>
      </c>
      <c r="K155" s="17">
        <v>38375.99</v>
      </c>
    </row>
    <row r="156" spans="1:11">
      <c r="A156" s="1" t="s">
        <v>4</v>
      </c>
      <c r="B156" s="1">
        <v>2098</v>
      </c>
      <c r="C156" s="10">
        <v>5068.893</v>
      </c>
      <c r="D156" s="11">
        <v>110582.670981795</v>
      </c>
      <c r="E156" s="18">
        <v>37286.08</v>
      </c>
      <c r="F156" s="11">
        <v>7187.5099</v>
      </c>
      <c r="G156" s="11">
        <v>110246.07523599</v>
      </c>
      <c r="H156" s="17">
        <v>35025.03</v>
      </c>
      <c r="I156" s="11">
        <v>4697.4324</v>
      </c>
      <c r="J156" s="11">
        <v>174177.98955897</v>
      </c>
      <c r="K156" s="17">
        <v>38375.99</v>
      </c>
    </row>
    <row r="157" spans="1:11">
      <c r="A157" s="1" t="s">
        <v>4</v>
      </c>
      <c r="B157" s="1">
        <v>2099</v>
      </c>
      <c r="C157" s="10">
        <v>5043.8846</v>
      </c>
      <c r="D157" s="11">
        <v>110293.40005837</v>
      </c>
      <c r="E157" s="18">
        <v>37286.08</v>
      </c>
      <c r="F157" s="11">
        <v>7194.9038</v>
      </c>
      <c r="G157" s="11">
        <v>109841.835097228</v>
      </c>
      <c r="H157" s="17">
        <v>35025.03</v>
      </c>
      <c r="I157" s="11">
        <v>4668.9693</v>
      </c>
      <c r="J157" s="11">
        <v>175634.629595398</v>
      </c>
      <c r="K157" s="17">
        <v>38375.99</v>
      </c>
    </row>
    <row r="158" spans="1:11">
      <c r="A158" s="1" t="s">
        <v>4</v>
      </c>
      <c r="B158" s="1">
        <v>2100</v>
      </c>
      <c r="C158" s="10">
        <v>5027.777</v>
      </c>
      <c r="D158" s="11">
        <v>110228.056225035</v>
      </c>
      <c r="E158" s="18">
        <v>37286.08</v>
      </c>
      <c r="F158" s="11">
        <v>7206.6439</v>
      </c>
      <c r="G158" s="11">
        <v>109206.404291434</v>
      </c>
      <c r="H158" s="17">
        <v>35025.03</v>
      </c>
      <c r="I158" s="11">
        <v>4649.1441</v>
      </c>
      <c r="J158" s="11">
        <v>177228.176882842</v>
      </c>
      <c r="K158" s="17">
        <v>38375.99</v>
      </c>
    </row>
    <row r="159" spans="1:11">
      <c r="A159" s="1" t="s">
        <v>5</v>
      </c>
      <c r="B159" s="1">
        <v>2023</v>
      </c>
      <c r="C159" s="10">
        <v>4247.2884</v>
      </c>
      <c r="D159" s="11">
        <v>35651.6899810539</v>
      </c>
      <c r="E159" s="16">
        <v>12236.37</v>
      </c>
      <c r="F159" s="11">
        <v>4298.9876</v>
      </c>
      <c r="G159" s="11">
        <v>34603.1443649601</v>
      </c>
      <c r="H159" s="17">
        <v>11866.41</v>
      </c>
      <c r="I159" s="11">
        <v>4253.959</v>
      </c>
      <c r="J159" s="11">
        <v>36179.1952573632</v>
      </c>
      <c r="K159" s="17">
        <v>12255.73</v>
      </c>
    </row>
    <row r="160" spans="1:11">
      <c r="A160" s="1" t="s">
        <v>5</v>
      </c>
      <c r="B160" s="1">
        <v>2024</v>
      </c>
      <c r="C160" s="10">
        <v>4227.9169</v>
      </c>
      <c r="D160" s="11">
        <v>36954.831979204</v>
      </c>
      <c r="E160" s="3">
        <f>(E159+E161)/2</f>
        <v>12777.94</v>
      </c>
      <c r="F160" s="11">
        <v>4283.0168</v>
      </c>
      <c r="G160" s="11">
        <v>36369.2702179755</v>
      </c>
      <c r="H160" s="4">
        <f>(H159+H161)/2</f>
        <v>12297.455</v>
      </c>
      <c r="I160" s="11">
        <v>4236.0277</v>
      </c>
      <c r="J160" s="11">
        <v>37372.9832306183</v>
      </c>
      <c r="K160" s="4">
        <f>(K159+K161)/2</f>
        <v>12819.08</v>
      </c>
    </row>
    <row r="161" spans="1:11">
      <c r="A161" s="1" t="s">
        <v>5</v>
      </c>
      <c r="B161" s="1">
        <v>2025</v>
      </c>
      <c r="C161" s="10">
        <v>4207.8115</v>
      </c>
      <c r="D161" s="11">
        <v>38200.7496931853</v>
      </c>
      <c r="E161" s="16">
        <v>13319.51</v>
      </c>
      <c r="F161" s="11">
        <v>4265.349</v>
      </c>
      <c r="G161" s="11">
        <v>37965.9520865316</v>
      </c>
      <c r="H161" s="17">
        <v>12728.5</v>
      </c>
      <c r="I161" s="11">
        <v>4217.5174</v>
      </c>
      <c r="J161" s="11">
        <v>38522.4747012834</v>
      </c>
      <c r="K161" s="17">
        <v>13382.43</v>
      </c>
    </row>
    <row r="162" spans="1:11">
      <c r="A162" s="1" t="s">
        <v>5</v>
      </c>
      <c r="B162" s="1">
        <v>2026</v>
      </c>
      <c r="C162" s="10">
        <v>4187.0846</v>
      </c>
      <c r="D162" s="11">
        <v>39354.5069304705</v>
      </c>
      <c r="E162" s="3">
        <f t="shared" ref="E162:E165" si="28">E161*(1+$L$161)</f>
        <v>13319.51</v>
      </c>
      <c r="F162" s="11">
        <v>4246.1276</v>
      </c>
      <c r="G162" s="11">
        <v>39289.4180432495</v>
      </c>
      <c r="H162" s="4">
        <f t="shared" ref="H162:H165" si="29">H161*(1+M$161)</f>
        <v>12728.5</v>
      </c>
      <c r="I162" s="11">
        <v>4198.5394</v>
      </c>
      <c r="J162" s="11">
        <v>39607.854121302</v>
      </c>
      <c r="K162" s="4">
        <f t="shared" ref="K162:K165" si="30">K161*(1+N$161)</f>
        <v>13382.43</v>
      </c>
    </row>
    <row r="163" spans="1:11">
      <c r="A163" s="1" t="s">
        <v>5</v>
      </c>
      <c r="B163" s="1">
        <v>2027</v>
      </c>
      <c r="C163" s="10">
        <v>4165.7514</v>
      </c>
      <c r="D163" s="11">
        <v>40426.3855989763</v>
      </c>
      <c r="E163" s="3">
        <f t="shared" si="28"/>
        <v>13319.51</v>
      </c>
      <c r="F163" s="11">
        <v>4225.4535</v>
      </c>
      <c r="G163" s="11">
        <v>40383.2038498911</v>
      </c>
      <c r="H163" s="4">
        <f t="shared" si="29"/>
        <v>12728.5</v>
      </c>
      <c r="I163" s="11">
        <v>4179.0729</v>
      </c>
      <c r="J163" s="11">
        <v>40643.1367723651</v>
      </c>
      <c r="K163" s="4">
        <f t="shared" si="30"/>
        <v>13382.43</v>
      </c>
    </row>
    <row r="164" spans="1:11">
      <c r="A164" s="1" t="s">
        <v>5</v>
      </c>
      <c r="B164" s="1">
        <v>2028</v>
      </c>
      <c r="C164" s="10">
        <v>4143.8048</v>
      </c>
      <c r="D164" s="11">
        <v>41437.9721317305</v>
      </c>
      <c r="E164" s="3">
        <f t="shared" si="28"/>
        <v>13319.51</v>
      </c>
      <c r="F164" s="11">
        <v>4203.4159</v>
      </c>
      <c r="G164" s="11">
        <v>41327.6721905031</v>
      </c>
      <c r="H164" s="4">
        <f t="shared" si="29"/>
        <v>12728.5</v>
      </c>
      <c r="I164" s="11">
        <v>4159.066</v>
      </c>
      <c r="J164" s="11">
        <v>41650.795643601</v>
      </c>
      <c r="K164" s="4">
        <f t="shared" si="30"/>
        <v>13382.43</v>
      </c>
    </row>
    <row r="165" spans="1:11">
      <c r="A165" s="1" t="s">
        <v>5</v>
      </c>
      <c r="B165" s="1">
        <v>2029</v>
      </c>
      <c r="C165" s="10">
        <v>4121.2403</v>
      </c>
      <c r="D165" s="11">
        <v>42410.8529617608</v>
      </c>
      <c r="E165" s="3">
        <f t="shared" si="28"/>
        <v>13319.51</v>
      </c>
      <c r="F165" s="11">
        <v>4180.1031</v>
      </c>
      <c r="G165" s="11">
        <v>42203.1857491321</v>
      </c>
      <c r="H165" s="4">
        <f t="shared" si="29"/>
        <v>12728.5</v>
      </c>
      <c r="I165" s="11">
        <v>4138.4691</v>
      </c>
      <c r="J165" s="11">
        <v>42653.3037241378</v>
      </c>
      <c r="K165" s="4">
        <f t="shared" si="30"/>
        <v>13382.43</v>
      </c>
    </row>
    <row r="166" spans="1:11">
      <c r="A166" s="1" t="s">
        <v>5</v>
      </c>
      <c r="B166" s="1">
        <v>2030</v>
      </c>
      <c r="C166" s="10">
        <v>4098.0553</v>
      </c>
      <c r="D166" s="11">
        <v>43366.614522095</v>
      </c>
      <c r="E166" s="18">
        <v>14380.01</v>
      </c>
      <c r="F166" s="11">
        <v>4155.6018</v>
      </c>
      <c r="G166" s="11">
        <v>43090.107209825</v>
      </c>
      <c r="H166" s="17">
        <v>13559.62</v>
      </c>
      <c r="I166" s="11">
        <v>4117.2347</v>
      </c>
      <c r="J166" s="11">
        <v>43673.1340031036</v>
      </c>
      <c r="K166" s="17">
        <v>14497.96</v>
      </c>
    </row>
    <row r="167" spans="1:11">
      <c r="A167" s="1" t="s">
        <v>5</v>
      </c>
      <c r="B167" s="1">
        <v>2031</v>
      </c>
      <c r="C167" s="10">
        <v>4074.2347</v>
      </c>
      <c r="D167" s="11">
        <v>44322.4924064912</v>
      </c>
      <c r="E167" s="3">
        <f t="shared" ref="E167:E170" si="31">E166*(1+$L$166)</f>
        <v>14380.01</v>
      </c>
      <c r="F167" s="11">
        <v>4129.9879</v>
      </c>
      <c r="G167" s="11">
        <v>44051.0080687343</v>
      </c>
      <c r="H167" s="4">
        <f t="shared" ref="H167:H170" si="32">H166*(1+M$166)</f>
        <v>13559.62</v>
      </c>
      <c r="I167" s="11">
        <v>4095.3124</v>
      </c>
      <c r="J167" s="11">
        <v>44725.8984901013</v>
      </c>
      <c r="K167" s="4">
        <f t="shared" ref="K167:K170" si="33">K166*(1+N$166)</f>
        <v>14497.96</v>
      </c>
    </row>
    <row r="168" spans="1:11">
      <c r="A168" s="1" t="s">
        <v>5</v>
      </c>
      <c r="B168" s="1">
        <v>2032</v>
      </c>
      <c r="C168" s="10">
        <v>4049.7042</v>
      </c>
      <c r="D168" s="11">
        <v>45278.3188516289</v>
      </c>
      <c r="E168" s="3">
        <f t="shared" si="31"/>
        <v>14380.01</v>
      </c>
      <c r="F168" s="11">
        <v>4103.2973</v>
      </c>
      <c r="G168" s="11">
        <v>45077.2950704355</v>
      </c>
      <c r="H168" s="4">
        <f t="shared" si="32"/>
        <v>13559.62</v>
      </c>
      <c r="I168" s="11">
        <v>4072.634</v>
      </c>
      <c r="J168" s="11">
        <v>45799.7652766332</v>
      </c>
      <c r="K168" s="4">
        <f t="shared" si="33"/>
        <v>14497.96</v>
      </c>
    </row>
    <row r="169" spans="1:11">
      <c r="A169" s="1" t="s">
        <v>5</v>
      </c>
      <c r="B169" s="1">
        <v>2033</v>
      </c>
      <c r="C169" s="10">
        <v>4024.3746</v>
      </c>
      <c r="D169" s="11">
        <v>46229.5752549182</v>
      </c>
      <c r="E169" s="3">
        <f t="shared" si="31"/>
        <v>14380.01</v>
      </c>
      <c r="F169" s="11">
        <v>4075.5546</v>
      </c>
      <c r="G169" s="11">
        <v>46142.5837716102</v>
      </c>
      <c r="H169" s="4">
        <f t="shared" si="32"/>
        <v>13559.62</v>
      </c>
      <c r="I169" s="11">
        <v>4049.1265</v>
      </c>
      <c r="J169" s="11">
        <v>46876.0414746765</v>
      </c>
      <c r="K169" s="4">
        <f t="shared" si="33"/>
        <v>14497.96</v>
      </c>
    </row>
    <row r="170" spans="1:11">
      <c r="A170" s="1" t="s">
        <v>5</v>
      </c>
      <c r="B170" s="1">
        <v>2034</v>
      </c>
      <c r="C170" s="10">
        <v>3998.1571</v>
      </c>
      <c r="D170" s="11">
        <v>47171.7430137689</v>
      </c>
      <c r="E170" s="3">
        <f t="shared" si="31"/>
        <v>14380.01</v>
      </c>
      <c r="F170" s="11">
        <v>4046.783</v>
      </c>
      <c r="G170" s="11">
        <v>47220.4897289398</v>
      </c>
      <c r="H170" s="4">
        <f t="shared" si="32"/>
        <v>13559.62</v>
      </c>
      <c r="I170" s="11">
        <v>4024.7171</v>
      </c>
      <c r="J170" s="11">
        <v>47936.0341962083</v>
      </c>
      <c r="K170" s="4">
        <f t="shared" si="33"/>
        <v>14497.96</v>
      </c>
    </row>
    <row r="171" spans="1:11">
      <c r="A171" s="1" t="s">
        <v>5</v>
      </c>
      <c r="B171" s="1">
        <v>2035</v>
      </c>
      <c r="C171" s="10">
        <v>3970.9625</v>
      </c>
      <c r="D171" s="11">
        <v>48100.303525591</v>
      </c>
      <c r="E171" s="18">
        <v>15073.63</v>
      </c>
      <c r="F171" s="11">
        <v>4017.0041</v>
      </c>
      <c r="G171" s="11">
        <v>48284.6284991056</v>
      </c>
      <c r="H171" s="17">
        <v>14120.5</v>
      </c>
      <c r="I171" s="11">
        <v>3999.3328</v>
      </c>
      <c r="J171" s="11">
        <v>48961.0505532057</v>
      </c>
      <c r="K171" s="17">
        <v>15270.17</v>
      </c>
    </row>
    <row r="172" spans="1:11">
      <c r="A172" s="1" t="s">
        <v>5</v>
      </c>
      <c r="B172" s="1">
        <v>2036</v>
      </c>
      <c r="C172" s="10">
        <v>3942.715</v>
      </c>
      <c r="D172" s="11">
        <v>49012.5361569337</v>
      </c>
      <c r="E172" s="3">
        <f t="shared" ref="E172:E175" si="34">E171*(1+$L$171)</f>
        <v>15073.63</v>
      </c>
      <c r="F172" s="11">
        <v>3986.2285</v>
      </c>
      <c r="G172" s="11">
        <v>49315.8098614679</v>
      </c>
      <c r="H172" s="4">
        <f t="shared" ref="H172:H175" si="35">H171*(1+M$171)</f>
        <v>14120.5</v>
      </c>
      <c r="I172" s="11">
        <v>3972.9104</v>
      </c>
      <c r="J172" s="11">
        <v>49939.7377712518</v>
      </c>
      <c r="K172" s="4">
        <f t="shared" ref="K172:K175" si="36">K171*(1+N$171)</f>
        <v>15270.17</v>
      </c>
    </row>
    <row r="173" spans="1:11">
      <c r="A173" s="1" t="s">
        <v>5</v>
      </c>
      <c r="B173" s="1">
        <v>2037</v>
      </c>
      <c r="C173" s="10">
        <v>3913.3932</v>
      </c>
      <c r="D173" s="11">
        <v>49912.9121509035</v>
      </c>
      <c r="E173" s="3">
        <f t="shared" si="34"/>
        <v>15073.63</v>
      </c>
      <c r="F173" s="11">
        <v>3954.4287</v>
      </c>
      <c r="G173" s="11">
        <v>50323.6204861017</v>
      </c>
      <c r="H173" s="4">
        <f t="shared" si="35"/>
        <v>14120.5</v>
      </c>
      <c r="I173" s="11">
        <v>3945.4259</v>
      </c>
      <c r="J173" s="11">
        <v>50890.1035303531</v>
      </c>
      <c r="K173" s="4">
        <f t="shared" si="36"/>
        <v>15270.17</v>
      </c>
    </row>
    <row r="174" spans="1:11">
      <c r="A174" s="1" t="s">
        <v>5</v>
      </c>
      <c r="B174" s="1">
        <v>2038</v>
      </c>
      <c r="C174" s="10">
        <v>3882.9889</v>
      </c>
      <c r="D174" s="11">
        <v>50807.7007197462</v>
      </c>
      <c r="E174" s="3">
        <f t="shared" si="34"/>
        <v>15073.63</v>
      </c>
      <c r="F174" s="11">
        <v>3921.5681</v>
      </c>
      <c r="G174" s="11">
        <v>51324.8412657609</v>
      </c>
      <c r="H174" s="4">
        <f t="shared" si="35"/>
        <v>14120.5</v>
      </c>
      <c r="I174" s="11">
        <v>3916.8655</v>
      </c>
      <c r="J174" s="11">
        <v>51837.4956241224</v>
      </c>
      <c r="K174" s="4">
        <f t="shared" si="36"/>
        <v>15270.17</v>
      </c>
    </row>
    <row r="175" spans="1:11">
      <c r="A175" s="1" t="s">
        <v>5</v>
      </c>
      <c r="B175" s="1">
        <v>2039</v>
      </c>
      <c r="C175" s="10">
        <v>3851.4948</v>
      </c>
      <c r="D175" s="11">
        <v>51703.1710757078</v>
      </c>
      <c r="E175" s="3">
        <f t="shared" si="34"/>
        <v>15073.63</v>
      </c>
      <c r="F175" s="11">
        <v>3887.6109</v>
      </c>
      <c r="G175" s="11">
        <v>52336.2530931993</v>
      </c>
      <c r="H175" s="4">
        <f t="shared" si="35"/>
        <v>14120.5</v>
      </c>
      <c r="I175" s="11">
        <v>3887.2157</v>
      </c>
      <c r="J175" s="11">
        <v>52807.261846172</v>
      </c>
      <c r="K175" s="4">
        <f t="shared" si="36"/>
        <v>15270.17</v>
      </c>
    </row>
    <row r="176" spans="1:11">
      <c r="A176" s="1" t="s">
        <v>5</v>
      </c>
      <c r="B176" s="1">
        <v>2040</v>
      </c>
      <c r="C176" s="10">
        <v>3818.9038</v>
      </c>
      <c r="D176" s="11">
        <v>52605.592431034</v>
      </c>
      <c r="E176" s="18">
        <v>15774.44</v>
      </c>
      <c r="F176" s="11">
        <v>3852.5216</v>
      </c>
      <c r="G176" s="11">
        <v>53374.6368611708</v>
      </c>
      <c r="H176" s="17">
        <v>14712.85</v>
      </c>
      <c r="I176" s="11">
        <v>3856.4633</v>
      </c>
      <c r="J176" s="11">
        <v>53824.7499901145</v>
      </c>
      <c r="K176" s="17">
        <v>16015.12</v>
      </c>
    </row>
    <row r="177" spans="1:11">
      <c r="A177" s="1" t="s">
        <v>5</v>
      </c>
      <c r="B177" s="1">
        <v>2041</v>
      </c>
      <c r="C177" s="10">
        <v>3785.2189</v>
      </c>
      <c r="D177" s="11">
        <v>53519.2531430165</v>
      </c>
      <c r="E177" s="3">
        <f t="shared" ref="E177:E180" si="37">E176*(1+$L$176)</f>
        <v>15774.44</v>
      </c>
      <c r="F177" s="11">
        <v>3816.2876</v>
      </c>
      <c r="G177" s="11">
        <v>54452.4923302093</v>
      </c>
      <c r="H177" s="4">
        <f t="shared" ref="H177:H180" si="38">H176*(1+M$176)</f>
        <v>14712.85</v>
      </c>
      <c r="I177" s="11">
        <v>3824.6067</v>
      </c>
      <c r="J177" s="11">
        <v>54909.64800146</v>
      </c>
      <c r="K177" s="4">
        <f t="shared" ref="K177:K180" si="39">K176*(1+N$176)</f>
        <v>16015.12</v>
      </c>
    </row>
    <row r="178" spans="1:11">
      <c r="A178" s="1" t="s">
        <v>5</v>
      </c>
      <c r="B178" s="1">
        <v>2042</v>
      </c>
      <c r="C178" s="10">
        <v>3750.4825</v>
      </c>
      <c r="D178" s="11">
        <v>54440.5181491306</v>
      </c>
      <c r="E178" s="3">
        <f t="shared" si="37"/>
        <v>15774.44</v>
      </c>
      <c r="F178" s="11">
        <v>3778.986</v>
      </c>
      <c r="G178" s="11">
        <v>55565.1947319693</v>
      </c>
      <c r="H178" s="4">
        <f t="shared" si="38"/>
        <v>14712.85</v>
      </c>
      <c r="I178" s="11">
        <v>3791.6891</v>
      </c>
      <c r="J178" s="11">
        <v>56059.0044333088</v>
      </c>
      <c r="K178" s="4">
        <f t="shared" si="39"/>
        <v>16015.12</v>
      </c>
    </row>
    <row r="179" spans="1:11">
      <c r="A179" s="1" t="s">
        <v>5</v>
      </c>
      <c r="B179" s="1">
        <v>2043</v>
      </c>
      <c r="C179" s="10">
        <v>3714.7475</v>
      </c>
      <c r="D179" s="11">
        <v>55363.7715318974</v>
      </c>
      <c r="E179" s="3">
        <f t="shared" si="37"/>
        <v>15774.44</v>
      </c>
      <c r="F179" s="11">
        <v>3740.7188</v>
      </c>
      <c r="G179" s="11">
        <v>56703.838165885</v>
      </c>
      <c r="H179" s="4">
        <f t="shared" si="38"/>
        <v>14712.85</v>
      </c>
      <c r="I179" s="11">
        <v>3757.7655</v>
      </c>
      <c r="J179" s="11">
        <v>57264.2079906587</v>
      </c>
      <c r="K179" s="4">
        <f t="shared" si="39"/>
        <v>16015.12</v>
      </c>
    </row>
    <row r="180" spans="1:11">
      <c r="A180" s="1" t="s">
        <v>5</v>
      </c>
      <c r="B180" s="1">
        <v>2044</v>
      </c>
      <c r="C180" s="10">
        <v>3678.0678</v>
      </c>
      <c r="D180" s="11">
        <v>56283.3973738379</v>
      </c>
      <c r="E180" s="3">
        <f t="shared" si="37"/>
        <v>15774.44</v>
      </c>
      <c r="F180" s="11">
        <v>3701.5907</v>
      </c>
      <c r="G180" s="11">
        <v>57859.5167313911</v>
      </c>
      <c r="H180" s="4">
        <f t="shared" si="38"/>
        <v>14712.85</v>
      </c>
      <c r="I180" s="11">
        <v>3722.8917</v>
      </c>
      <c r="J180" s="11">
        <v>58516.6473785075</v>
      </c>
      <c r="K180" s="4">
        <f t="shared" si="39"/>
        <v>16015.12</v>
      </c>
    </row>
    <row r="181" spans="1:11">
      <c r="A181" s="1" t="s">
        <v>5</v>
      </c>
      <c r="B181" s="1">
        <v>2045</v>
      </c>
      <c r="C181" s="10">
        <v>3640.498</v>
      </c>
      <c r="D181" s="11">
        <v>57193.7797574732</v>
      </c>
      <c r="E181" s="18">
        <v>16068.91</v>
      </c>
      <c r="F181" s="11">
        <v>3661.7095</v>
      </c>
      <c r="G181" s="11">
        <v>59023.324527922</v>
      </c>
      <c r="H181" s="17">
        <v>15035.56</v>
      </c>
      <c r="I181" s="11">
        <v>3687.1245</v>
      </c>
      <c r="J181" s="11">
        <v>59807.7113018532</v>
      </c>
      <c r="K181" s="17">
        <v>16423.22</v>
      </c>
    </row>
    <row r="182" spans="1:11">
      <c r="A182" s="1" t="s">
        <v>5</v>
      </c>
      <c r="B182" s="1">
        <v>2046</v>
      </c>
      <c r="C182" s="10">
        <v>3602.0992</v>
      </c>
      <c r="D182" s="11">
        <v>58088.7364637304</v>
      </c>
      <c r="E182" s="3">
        <f t="shared" ref="E182:E185" si="40">E181*(1+$L$181)</f>
        <v>16068.91</v>
      </c>
      <c r="F182" s="11">
        <v>3621.1691</v>
      </c>
      <c r="G182" s="11">
        <v>60181.6724034363</v>
      </c>
      <c r="H182" s="4">
        <f t="shared" ref="H182:H185" si="41">H181*(1+M$181)</f>
        <v>15035.56</v>
      </c>
      <c r="I182" s="11">
        <v>3650.5265</v>
      </c>
      <c r="J182" s="11">
        <v>61125.2555430857</v>
      </c>
      <c r="K182" s="4">
        <f t="shared" ref="K182:K185" si="42">K181*(1+N$181)</f>
        <v>16423.22</v>
      </c>
    </row>
    <row r="183" spans="1:11">
      <c r="A183" s="1" t="s">
        <v>5</v>
      </c>
      <c r="B183" s="1">
        <v>2047</v>
      </c>
      <c r="C183" s="10">
        <v>3562.9546</v>
      </c>
      <c r="D183" s="11">
        <v>58959.82006716</v>
      </c>
      <c r="E183" s="3">
        <f t="shared" si="40"/>
        <v>16068.91</v>
      </c>
      <c r="F183" s="11">
        <v>3579.9965</v>
      </c>
      <c r="G183" s="11">
        <v>61302.2381999887</v>
      </c>
      <c r="H183" s="4">
        <f t="shared" si="41"/>
        <v>15035.56</v>
      </c>
      <c r="I183" s="11">
        <v>3613.1813</v>
      </c>
      <c r="J183" s="11">
        <v>62443.0041941644</v>
      </c>
      <c r="K183" s="4">
        <f t="shared" si="42"/>
        <v>16423.22</v>
      </c>
    </row>
    <row r="184" spans="1:11">
      <c r="A184" s="1" t="s">
        <v>5</v>
      </c>
      <c r="B184" s="1">
        <v>2048</v>
      </c>
      <c r="C184" s="10">
        <v>3523.1512</v>
      </c>
      <c r="D184" s="11">
        <v>59798.0168407182</v>
      </c>
      <c r="E184" s="3">
        <f t="shared" si="40"/>
        <v>16068.91</v>
      </c>
      <c r="F184" s="11">
        <v>3538.1994</v>
      </c>
      <c r="G184" s="11">
        <v>62348.0165081582</v>
      </c>
      <c r="H184" s="4">
        <f t="shared" si="41"/>
        <v>15035.56</v>
      </c>
      <c r="I184" s="11">
        <v>3575.1768</v>
      </c>
      <c r="J184" s="11">
        <v>63731.1484244408</v>
      </c>
      <c r="K184" s="4">
        <f t="shared" si="42"/>
        <v>16423.22</v>
      </c>
    </row>
    <row r="185" spans="1:11">
      <c r="A185" s="1" t="s">
        <v>5</v>
      </c>
      <c r="B185" s="1">
        <v>2049</v>
      </c>
      <c r="C185" s="10">
        <v>3482.7747</v>
      </c>
      <c r="D185" s="11">
        <v>60594.3130573618</v>
      </c>
      <c r="E185" s="3">
        <f t="shared" si="40"/>
        <v>16068.91</v>
      </c>
      <c r="F185" s="11">
        <v>3495.7824</v>
      </c>
      <c r="G185" s="11">
        <v>63282.0019185236</v>
      </c>
      <c r="H185" s="4">
        <f t="shared" si="41"/>
        <v>15035.56</v>
      </c>
      <c r="I185" s="11">
        <v>3536.5988</v>
      </c>
      <c r="J185" s="11">
        <v>64959.8794032664</v>
      </c>
      <c r="K185" s="4">
        <f t="shared" si="42"/>
        <v>16423.22</v>
      </c>
    </row>
    <row r="186" spans="1:11">
      <c r="A186" s="1" t="s">
        <v>5</v>
      </c>
      <c r="B186" s="1">
        <v>2050</v>
      </c>
      <c r="C186" s="10">
        <v>3441.9091</v>
      </c>
      <c r="D186" s="11">
        <v>61339.6949900468</v>
      </c>
      <c r="E186" s="18">
        <v>16350.48</v>
      </c>
      <c r="F186" s="11">
        <v>3452.7466</v>
      </c>
      <c r="G186" s="11">
        <v>64067.1890216639</v>
      </c>
      <c r="H186" s="17">
        <v>15370.78</v>
      </c>
      <c r="I186" s="11">
        <v>3497.532</v>
      </c>
      <c r="J186" s="11">
        <v>66099.3882999929</v>
      </c>
      <c r="K186" s="17">
        <v>16817.77</v>
      </c>
    </row>
    <row r="187" spans="1:11">
      <c r="A187" s="1" t="s">
        <v>5</v>
      </c>
      <c r="B187" s="1">
        <v>2051</v>
      </c>
      <c r="C187" s="10">
        <v>3400.6067</v>
      </c>
      <c r="D187" s="11">
        <v>62028.1345528805</v>
      </c>
      <c r="E187" s="18">
        <v>16350.48</v>
      </c>
      <c r="F187" s="11">
        <v>3409.0967</v>
      </c>
      <c r="G187" s="11">
        <v>64681.1379648795</v>
      </c>
      <c r="H187" s="17">
        <v>15370.78</v>
      </c>
      <c r="I187" s="11">
        <v>3458.0295</v>
      </c>
      <c r="J187" s="11">
        <v>67127.3107880896</v>
      </c>
      <c r="K187" s="17">
        <v>16817.77</v>
      </c>
    </row>
    <row r="188" spans="1:11">
      <c r="A188" s="1" t="s">
        <v>5</v>
      </c>
      <c r="B188" s="1">
        <v>2052</v>
      </c>
      <c r="C188" s="10">
        <v>3358.7975</v>
      </c>
      <c r="D188" s="11">
        <v>62665.546224572</v>
      </c>
      <c r="E188" s="18">
        <v>16350.48</v>
      </c>
      <c r="F188" s="11">
        <v>3364.8594</v>
      </c>
      <c r="G188" s="11">
        <v>65159.6711223577</v>
      </c>
      <c r="H188" s="17">
        <v>15370.78</v>
      </c>
      <c r="I188" s="11">
        <v>3418.0225</v>
      </c>
      <c r="J188" s="11">
        <v>68051.0605574975</v>
      </c>
      <c r="K188" s="17">
        <v>16817.77</v>
      </c>
    </row>
    <row r="189" spans="1:11">
      <c r="A189" s="1" t="s">
        <v>5</v>
      </c>
      <c r="B189" s="1">
        <v>2053</v>
      </c>
      <c r="C189" s="10">
        <v>3316.3787</v>
      </c>
      <c r="D189" s="11">
        <v>63260.8301249812</v>
      </c>
      <c r="E189" s="18">
        <v>16350.48</v>
      </c>
      <c r="F189" s="11">
        <v>3320.0645</v>
      </c>
      <c r="G189" s="11">
        <v>65553.1764250072</v>
      </c>
      <c r="H189" s="17">
        <v>15370.78</v>
      </c>
      <c r="I189" s="11">
        <v>3377.4092</v>
      </c>
      <c r="J189" s="11">
        <v>68885.4958022755</v>
      </c>
      <c r="K189" s="17">
        <v>16817.77</v>
      </c>
    </row>
    <row r="190" spans="1:11">
      <c r="A190" s="1" t="s">
        <v>5</v>
      </c>
      <c r="B190" s="1">
        <v>2054</v>
      </c>
      <c r="C190" s="10">
        <v>3273.2436</v>
      </c>
      <c r="D190" s="11">
        <v>63822.8863739681</v>
      </c>
      <c r="E190" s="18">
        <v>16350.48</v>
      </c>
      <c r="F190" s="11">
        <v>3274.7383</v>
      </c>
      <c r="G190" s="11">
        <v>65912.0418037368</v>
      </c>
      <c r="H190" s="17">
        <v>15370.78</v>
      </c>
      <c r="I190" s="11">
        <v>3336.0847</v>
      </c>
      <c r="J190" s="11">
        <v>69645.4747164824</v>
      </c>
      <c r="K190" s="17">
        <v>16817.77</v>
      </c>
    </row>
    <row r="191" spans="1:11">
      <c r="A191" s="1" t="s">
        <v>5</v>
      </c>
      <c r="B191" s="1">
        <v>2055</v>
      </c>
      <c r="C191" s="10">
        <v>3229.2823</v>
      </c>
      <c r="D191" s="11">
        <v>64360.6150913924</v>
      </c>
      <c r="E191" s="18">
        <v>16350.48</v>
      </c>
      <c r="F191" s="11">
        <v>3228.9035</v>
      </c>
      <c r="G191" s="11">
        <v>66286.6551894553</v>
      </c>
      <c r="H191" s="17">
        <v>15370.78</v>
      </c>
      <c r="I191" s="11">
        <v>3293.9405</v>
      </c>
      <c r="J191" s="11">
        <v>70345.8554941772</v>
      </c>
      <c r="K191" s="17">
        <v>16817.77</v>
      </c>
    </row>
    <row r="192" spans="1:11">
      <c r="A192" s="1" t="s">
        <v>5</v>
      </c>
      <c r="B192" s="1">
        <v>2056</v>
      </c>
      <c r="C192" s="10">
        <v>3184.406</v>
      </c>
      <c r="D192" s="11">
        <v>64883.0133929894</v>
      </c>
      <c r="E192" s="18">
        <v>16350.48</v>
      </c>
      <c r="F192" s="11">
        <v>3182.589</v>
      </c>
      <c r="G192" s="11">
        <v>66715.4338711605</v>
      </c>
      <c r="H192" s="17">
        <v>15370.78</v>
      </c>
      <c r="I192" s="11">
        <v>3250.8902</v>
      </c>
      <c r="J192" s="11">
        <v>71004.6594821498</v>
      </c>
      <c r="K192" s="17">
        <v>16817.77</v>
      </c>
    </row>
    <row r="193" spans="1:11">
      <c r="A193" s="1" t="s">
        <v>5</v>
      </c>
      <c r="B193" s="1">
        <v>2057</v>
      </c>
      <c r="C193" s="10">
        <v>3138.6255</v>
      </c>
      <c r="D193" s="11">
        <v>65399.4663779962</v>
      </c>
      <c r="E193" s="18">
        <v>16350.48</v>
      </c>
      <c r="F193" s="11">
        <v>3135.8608</v>
      </c>
      <c r="G193" s="11">
        <v>67188.9125702069</v>
      </c>
      <c r="H193" s="17">
        <v>15370.78</v>
      </c>
      <c r="I193" s="11">
        <v>3206.946</v>
      </c>
      <c r="J193" s="11">
        <v>71652.5606381146</v>
      </c>
      <c r="K193" s="17">
        <v>16817.77</v>
      </c>
    </row>
    <row r="194" spans="1:11">
      <c r="A194" s="1" t="s">
        <v>5</v>
      </c>
      <c r="B194" s="1">
        <v>2058</v>
      </c>
      <c r="C194" s="10">
        <v>3091.9745</v>
      </c>
      <c r="D194" s="11">
        <v>65919.4561415252</v>
      </c>
      <c r="E194" s="18">
        <v>16350.48</v>
      </c>
      <c r="F194" s="11">
        <v>3088.7934</v>
      </c>
      <c r="G194" s="11">
        <v>67685.6553660376</v>
      </c>
      <c r="H194" s="17">
        <v>15370.78</v>
      </c>
      <c r="I194" s="11">
        <v>3162.1432</v>
      </c>
      <c r="J194" s="11">
        <v>72323.3960725169</v>
      </c>
      <c r="K194" s="17">
        <v>16817.77</v>
      </c>
    </row>
    <row r="195" spans="1:11">
      <c r="A195" s="1" t="s">
        <v>5</v>
      </c>
      <c r="B195" s="1">
        <v>2059</v>
      </c>
      <c r="C195" s="10">
        <v>3044.484</v>
      </c>
      <c r="D195" s="11">
        <v>66452.4647786888</v>
      </c>
      <c r="E195" s="18">
        <v>16350.48</v>
      </c>
      <c r="F195" s="11">
        <v>3041.4595</v>
      </c>
      <c r="G195" s="11">
        <v>68184.226338096</v>
      </c>
      <c r="H195" s="17">
        <v>15370.78</v>
      </c>
      <c r="I195" s="11">
        <v>3116.5147</v>
      </c>
      <c r="J195" s="11">
        <v>73051.002895802</v>
      </c>
      <c r="K195" s="17">
        <v>16817.77</v>
      </c>
    </row>
    <row r="196" spans="1:11">
      <c r="A196" s="1" t="s">
        <v>5</v>
      </c>
      <c r="B196" s="1">
        <v>2060</v>
      </c>
      <c r="C196" s="10">
        <v>2996.1822</v>
      </c>
      <c r="D196" s="11">
        <v>67007.9743845995</v>
      </c>
      <c r="E196" s="18">
        <v>16350.48</v>
      </c>
      <c r="F196" s="11">
        <v>2993.9304</v>
      </c>
      <c r="G196" s="11">
        <v>68663.1895658256</v>
      </c>
      <c r="H196" s="17">
        <v>15370.78</v>
      </c>
      <c r="I196" s="11">
        <v>3070.0908</v>
      </c>
      <c r="J196" s="11">
        <v>73869.2182184155</v>
      </c>
      <c r="K196" s="17">
        <v>16817.77</v>
      </c>
    </row>
    <row r="197" spans="1:11">
      <c r="A197" s="1" t="s">
        <v>5</v>
      </c>
      <c r="B197" s="1">
        <v>2061</v>
      </c>
      <c r="C197" s="10">
        <v>2947.1475</v>
      </c>
      <c r="D197" s="11">
        <v>67590.679719978</v>
      </c>
      <c r="E197" s="18">
        <v>16350.48</v>
      </c>
      <c r="F197" s="11">
        <v>2946.3108</v>
      </c>
      <c r="G197" s="11">
        <v>69106.3161600868</v>
      </c>
      <c r="H197" s="17">
        <v>15370.78</v>
      </c>
      <c r="I197" s="11">
        <v>3022.9514</v>
      </c>
      <c r="J197" s="11">
        <v>74798.7730939406</v>
      </c>
      <c r="K197" s="17">
        <v>16817.77</v>
      </c>
    </row>
    <row r="198" spans="1:11">
      <c r="A198" s="1" t="s">
        <v>5</v>
      </c>
      <c r="B198" s="1">
        <v>2062</v>
      </c>
      <c r="C198" s="10">
        <v>2897.6714</v>
      </c>
      <c r="D198" s="11">
        <v>68186.1262079788</v>
      </c>
      <c r="E198" s="18">
        <v>16350.48</v>
      </c>
      <c r="F198" s="11">
        <v>2898.8468</v>
      </c>
      <c r="G198" s="11">
        <v>69518.2053574094</v>
      </c>
      <c r="H198" s="17">
        <v>15370.78</v>
      </c>
      <c r="I198" s="11">
        <v>2975.3858</v>
      </c>
      <c r="J198" s="11">
        <v>75807.9743485128</v>
      </c>
      <c r="K198" s="17">
        <v>16817.77</v>
      </c>
    </row>
    <row r="199" spans="1:11">
      <c r="A199" s="1" t="s">
        <v>5</v>
      </c>
      <c r="B199" s="1">
        <v>2063</v>
      </c>
      <c r="C199" s="10">
        <v>2848.1049</v>
      </c>
      <c r="D199" s="11">
        <v>68775.0719373649</v>
      </c>
      <c r="E199" s="18">
        <v>16350.48</v>
      </c>
      <c r="F199" s="11">
        <v>2851.8264</v>
      </c>
      <c r="G199" s="11">
        <v>69908.6634257401</v>
      </c>
      <c r="H199" s="17">
        <v>15370.78</v>
      </c>
      <c r="I199" s="11">
        <v>2927.7415</v>
      </c>
      <c r="J199" s="11">
        <v>76852.0227514054</v>
      </c>
      <c r="K199" s="17">
        <v>16817.77</v>
      </c>
    </row>
    <row r="200" spans="1:11">
      <c r="A200" s="1" t="s">
        <v>5</v>
      </c>
      <c r="B200" s="1">
        <v>2064</v>
      </c>
      <c r="C200" s="10">
        <v>2798.8068</v>
      </c>
      <c r="D200" s="11">
        <v>69338.2749968988</v>
      </c>
      <c r="E200" s="18">
        <v>16350.48</v>
      </c>
      <c r="F200" s="11">
        <v>2805.5465</v>
      </c>
      <c r="G200" s="11">
        <v>70287.496633026</v>
      </c>
      <c r="H200" s="17">
        <v>15370.78</v>
      </c>
      <c r="I200" s="11">
        <v>2880.3735</v>
      </c>
      <c r="J200" s="11">
        <v>77886.1190718919</v>
      </c>
      <c r="K200" s="17">
        <v>16817.77</v>
      </c>
    </row>
    <row r="201" spans="1:11">
      <c r="A201" s="1" t="s">
        <v>5</v>
      </c>
      <c r="B201" s="1">
        <v>2065</v>
      </c>
      <c r="C201" s="10">
        <v>2750.1451</v>
      </c>
      <c r="D201" s="11">
        <v>69856.4934753436</v>
      </c>
      <c r="E201" s="18">
        <v>16350.48</v>
      </c>
      <c r="F201" s="11">
        <v>2760.3135</v>
      </c>
      <c r="G201" s="11">
        <v>70664.5112472138</v>
      </c>
      <c r="H201" s="17">
        <v>15370.78</v>
      </c>
      <c r="I201" s="11">
        <v>2833.6454</v>
      </c>
      <c r="J201" s="11">
        <v>78865.4640792454</v>
      </c>
      <c r="K201" s="17">
        <v>16817.77</v>
      </c>
    </row>
    <row r="202" spans="1:11">
      <c r="A202" s="1" t="s">
        <v>5</v>
      </c>
      <c r="B202" s="1">
        <v>2066</v>
      </c>
      <c r="C202" s="10">
        <v>2702.441</v>
      </c>
      <c r="D202" s="11">
        <v>70314.5829114223</v>
      </c>
      <c r="E202" s="18">
        <v>16350.48</v>
      </c>
      <c r="F202" s="11">
        <v>2716.361</v>
      </c>
      <c r="G202" s="11">
        <v>71044.7696290754</v>
      </c>
      <c r="H202" s="17">
        <v>15370.78</v>
      </c>
      <c r="I202" s="11">
        <v>2787.8746</v>
      </c>
      <c r="J202" s="11">
        <v>79754.0789371054</v>
      </c>
      <c r="K202" s="17">
        <v>16817.77</v>
      </c>
    </row>
    <row r="203" spans="1:11">
      <c r="A203" s="1" t="s">
        <v>5</v>
      </c>
      <c r="B203" s="1">
        <v>2067</v>
      </c>
      <c r="C203" s="10">
        <v>2655.8007</v>
      </c>
      <c r="D203" s="11">
        <v>70713.7886436993</v>
      </c>
      <c r="E203" s="18">
        <v>16350.48</v>
      </c>
      <c r="F203" s="11">
        <v>2673.6011</v>
      </c>
      <c r="G203" s="11">
        <v>71414.3585106821</v>
      </c>
      <c r="H203" s="17">
        <v>15370.78</v>
      </c>
      <c r="I203" s="11">
        <v>2743.1647</v>
      </c>
      <c r="J203" s="11">
        <v>80551.266386574</v>
      </c>
      <c r="K203" s="17">
        <v>16817.77</v>
      </c>
    </row>
    <row r="204" spans="1:11">
      <c r="A204" s="1" t="s">
        <v>5</v>
      </c>
      <c r="B204" s="1">
        <v>2068</v>
      </c>
      <c r="C204" s="10">
        <v>2610.2811</v>
      </c>
      <c r="D204" s="11">
        <v>71059.4534606995</v>
      </c>
      <c r="E204" s="18">
        <v>16350.48</v>
      </c>
      <c r="F204" s="11">
        <v>2631.8664</v>
      </c>
      <c r="G204" s="11">
        <v>71754.62071693</v>
      </c>
      <c r="H204" s="17">
        <v>15370.78</v>
      </c>
      <c r="I204" s="11">
        <v>2699.5703</v>
      </c>
      <c r="J204" s="11">
        <v>81265.1495631197</v>
      </c>
      <c r="K204" s="17">
        <v>16817.77</v>
      </c>
    </row>
    <row r="205" spans="1:11">
      <c r="A205" s="1" t="s">
        <v>5</v>
      </c>
      <c r="B205" s="1">
        <v>2069</v>
      </c>
      <c r="C205" s="10">
        <v>2565.9446</v>
      </c>
      <c r="D205" s="11">
        <v>71356.9201509476</v>
      </c>
      <c r="E205" s="18">
        <v>16350.48</v>
      </c>
      <c r="F205" s="11">
        <v>2590.9918</v>
      </c>
      <c r="G205" s="11">
        <v>72046.8990727154</v>
      </c>
      <c r="H205" s="17">
        <v>15370.78</v>
      </c>
      <c r="I205" s="11">
        <v>2657.1509</v>
      </c>
      <c r="J205" s="11">
        <v>81903.8516022105</v>
      </c>
      <c r="K205" s="17">
        <v>16817.77</v>
      </c>
    </row>
    <row r="206" spans="1:11">
      <c r="A206" s="1" t="s">
        <v>5</v>
      </c>
      <c r="B206" s="1">
        <v>2070</v>
      </c>
      <c r="C206" s="10">
        <v>2522.8599</v>
      </c>
      <c r="D206" s="11">
        <v>71611.5315029682</v>
      </c>
      <c r="E206" s="18">
        <v>16350.48</v>
      </c>
      <c r="F206" s="11">
        <v>2550.8137</v>
      </c>
      <c r="G206" s="11">
        <v>72272.5364029345</v>
      </c>
      <c r="H206" s="17">
        <v>15370.78</v>
      </c>
      <c r="I206" s="11">
        <v>2615.9713</v>
      </c>
      <c r="J206" s="11">
        <v>82475.4956393146</v>
      </c>
      <c r="K206" s="17">
        <v>16817.77</v>
      </c>
    </row>
    <row r="207" spans="1:11">
      <c r="A207" s="1" t="s">
        <v>5</v>
      </c>
      <c r="B207" s="1">
        <v>2071</v>
      </c>
      <c r="C207" s="10">
        <v>2481.0366</v>
      </c>
      <c r="D207" s="11">
        <v>71831.2900538803</v>
      </c>
      <c r="E207" s="18">
        <v>16350.48</v>
      </c>
      <c r="F207" s="11">
        <v>2511.1899</v>
      </c>
      <c r="G207" s="11">
        <v>72422.0485483315</v>
      </c>
      <c r="H207" s="17">
        <v>15370.78</v>
      </c>
      <c r="I207" s="11">
        <v>2576.0377</v>
      </c>
      <c r="J207" s="11">
        <v>82992.314679323</v>
      </c>
      <c r="K207" s="17">
        <v>16817.77</v>
      </c>
    </row>
    <row r="208" spans="1:11">
      <c r="A208" s="1" t="s">
        <v>5</v>
      </c>
      <c r="B208" s="1">
        <v>2072</v>
      </c>
      <c r="C208" s="10">
        <v>2440.2293</v>
      </c>
      <c r="D208" s="11">
        <v>72034.8373351785</v>
      </c>
      <c r="E208" s="18">
        <v>16350.48</v>
      </c>
      <c r="F208" s="11">
        <v>2472.0569</v>
      </c>
      <c r="G208" s="11">
        <v>72522.6434130431</v>
      </c>
      <c r="H208" s="17">
        <v>15370.78</v>
      </c>
      <c r="I208" s="11">
        <v>2537.1041</v>
      </c>
      <c r="J208" s="11">
        <v>83482.9812048182</v>
      </c>
      <c r="K208" s="17">
        <v>16817.77</v>
      </c>
    </row>
    <row r="209" spans="1:11">
      <c r="A209" s="1" t="s">
        <v>5</v>
      </c>
      <c r="B209" s="1">
        <v>2073</v>
      </c>
      <c r="C209" s="10">
        <v>2400.1233</v>
      </c>
      <c r="D209" s="11">
        <v>72243.4746269517</v>
      </c>
      <c r="E209" s="18">
        <v>16350.48</v>
      </c>
      <c r="F209" s="11">
        <v>2433.3691</v>
      </c>
      <c r="G209" s="11">
        <v>72610.7019170541</v>
      </c>
      <c r="H209" s="17">
        <v>15370.78</v>
      </c>
      <c r="I209" s="11">
        <v>2498.8562</v>
      </c>
      <c r="J209" s="11">
        <v>83980.2775678052</v>
      </c>
      <c r="K209" s="17">
        <v>16817.77</v>
      </c>
    </row>
    <row r="210" spans="1:11">
      <c r="A210" s="1" t="s">
        <v>5</v>
      </c>
      <c r="B210" s="1">
        <v>2074</v>
      </c>
      <c r="C210" s="10">
        <v>2360.3986</v>
      </c>
      <c r="D210" s="11">
        <v>72478.5032092886</v>
      </c>
      <c r="E210" s="18">
        <v>16350.48</v>
      </c>
      <c r="F210" s="11">
        <v>2395.0792</v>
      </c>
      <c r="G210" s="11">
        <v>72722.6049803492</v>
      </c>
      <c r="H210" s="17">
        <v>15370.78</v>
      </c>
      <c r="I210" s="11">
        <v>2460.9746</v>
      </c>
      <c r="J210" s="11">
        <v>84516.9861202892</v>
      </c>
      <c r="K210" s="17">
        <v>16817.77</v>
      </c>
    </row>
    <row r="211" spans="1:11">
      <c r="A211" s="1" t="s">
        <v>5</v>
      </c>
      <c r="B211" s="1">
        <v>2075</v>
      </c>
      <c r="C211" s="10">
        <v>2320.7291</v>
      </c>
      <c r="D211" s="11">
        <v>72761.224362278</v>
      </c>
      <c r="E211" s="18">
        <v>16350.48</v>
      </c>
      <c r="F211" s="11">
        <v>2357.1381</v>
      </c>
      <c r="G211" s="11">
        <v>72894.7335229132</v>
      </c>
      <c r="H211" s="17">
        <v>15370.78</v>
      </c>
      <c r="I211" s="11">
        <v>2423.1344</v>
      </c>
      <c r="J211" s="11">
        <v>85125.8892142753</v>
      </c>
      <c r="K211" s="17">
        <v>16817.77</v>
      </c>
    </row>
    <row r="212" spans="1:11">
      <c r="A212" s="1" t="s">
        <v>5</v>
      </c>
      <c r="B212" s="1">
        <v>2076</v>
      </c>
      <c r="C212" s="10">
        <v>2280.7785</v>
      </c>
      <c r="D212" s="11">
        <v>73103.6876829126</v>
      </c>
      <c r="E212" s="18">
        <v>16350.48</v>
      </c>
      <c r="F212" s="11">
        <v>2319.4768</v>
      </c>
      <c r="G212" s="11">
        <v>73150.4780611707</v>
      </c>
      <c r="H212" s="17">
        <v>15370.78</v>
      </c>
      <c r="I212" s="11">
        <v>2384.9996</v>
      </c>
      <c r="J212" s="11">
        <v>85828.4770435135</v>
      </c>
      <c r="K212" s="17">
        <v>16817.77</v>
      </c>
    </row>
    <row r="213" spans="1:11">
      <c r="A213" s="1" t="s">
        <v>5</v>
      </c>
      <c r="B213" s="1">
        <v>2077</v>
      </c>
      <c r="C213" s="10">
        <v>2240.1839</v>
      </c>
      <c r="D213" s="11">
        <v>73480.9360358011</v>
      </c>
      <c r="E213" s="18">
        <v>16350.48</v>
      </c>
      <c r="F213" s="11">
        <v>2281.9494</v>
      </c>
      <c r="G213" s="11">
        <v>73461.2674973048</v>
      </c>
      <c r="H213" s="17">
        <v>15370.78</v>
      </c>
      <c r="I213" s="11">
        <v>2346.2044</v>
      </c>
      <c r="J213" s="11">
        <v>86601.0711687333</v>
      </c>
      <c r="K213" s="17">
        <v>16817.77</v>
      </c>
    </row>
    <row r="214" spans="1:11">
      <c r="A214" s="1" t="s">
        <v>5</v>
      </c>
      <c r="B214" s="1">
        <v>2078</v>
      </c>
      <c r="C214" s="10">
        <v>2198.5674</v>
      </c>
      <c r="D214" s="11">
        <v>73858.7606024558</v>
      </c>
      <c r="E214" s="18">
        <v>16350.48</v>
      </c>
      <c r="F214" s="11">
        <v>2244.3818</v>
      </c>
      <c r="G214" s="11">
        <v>73785.5403299387</v>
      </c>
      <c r="H214" s="17">
        <v>15370.78</v>
      </c>
      <c r="I214" s="11">
        <v>2306.3679</v>
      </c>
      <c r="J214" s="11">
        <v>87408.7009924087</v>
      </c>
      <c r="K214" s="17">
        <v>16817.77</v>
      </c>
    </row>
    <row r="215" spans="1:11">
      <c r="A215" s="1" t="s">
        <v>5</v>
      </c>
      <c r="B215" s="1">
        <v>2079</v>
      </c>
      <c r="C215" s="10">
        <v>2155.5394</v>
      </c>
      <c r="D215" s="11">
        <v>74202.9525643894</v>
      </c>
      <c r="E215" s="18">
        <v>16350.48</v>
      </c>
      <c r="F215" s="11">
        <v>2206.5897</v>
      </c>
      <c r="G215" s="11">
        <v>74081.7350576953</v>
      </c>
      <c r="H215" s="17">
        <v>15370.78</v>
      </c>
      <c r="I215" s="11">
        <v>2265.0994</v>
      </c>
      <c r="J215" s="11">
        <v>88216.395917014</v>
      </c>
      <c r="K215" s="17">
        <v>16817.77</v>
      </c>
    </row>
    <row r="216" spans="1:11">
      <c r="A216" s="1" t="s">
        <v>5</v>
      </c>
      <c r="B216" s="1">
        <v>2080</v>
      </c>
      <c r="C216" s="10">
        <v>2110.6974</v>
      </c>
      <c r="D216" s="11">
        <v>74479.3031031142</v>
      </c>
      <c r="E216" s="18">
        <v>16350.48</v>
      </c>
      <c r="F216" s="11">
        <v>2168.377</v>
      </c>
      <c r="G216" s="11">
        <v>74308.2901791979</v>
      </c>
      <c r="H216" s="17">
        <v>15370.78</v>
      </c>
      <c r="I216" s="11">
        <v>2221.9962</v>
      </c>
      <c r="J216" s="11">
        <v>88989.1853450234</v>
      </c>
      <c r="K216" s="17">
        <v>16817.77</v>
      </c>
    </row>
    <row r="217" spans="1:11">
      <c r="A217" s="1" t="s">
        <v>5</v>
      </c>
      <c r="B217" s="1">
        <v>2081</v>
      </c>
      <c r="C217" s="10">
        <v>2063.7986</v>
      </c>
      <c r="D217" s="11">
        <v>74663.5610554825</v>
      </c>
      <c r="E217" s="18">
        <v>16350.48</v>
      </c>
      <c r="F217" s="11">
        <v>2129.6256</v>
      </c>
      <c r="G217" s="11">
        <v>74436.3889972017</v>
      </c>
      <c r="H217" s="17">
        <v>15370.78</v>
      </c>
      <c r="I217" s="11">
        <v>2176.8196</v>
      </c>
      <c r="J217" s="11">
        <v>89700.037508252</v>
      </c>
      <c r="K217" s="17">
        <v>16817.77</v>
      </c>
    </row>
    <row r="218" spans="1:11">
      <c r="A218" s="1" t="s">
        <v>5</v>
      </c>
      <c r="B218" s="1">
        <v>2082</v>
      </c>
      <c r="C218" s="10">
        <v>2015.2926</v>
      </c>
      <c r="D218" s="11">
        <v>74771.3058797057</v>
      </c>
      <c r="E218" s="18">
        <v>16350.48</v>
      </c>
      <c r="F218" s="11">
        <v>2090.5747</v>
      </c>
      <c r="G218" s="11">
        <v>74488.1940309914</v>
      </c>
      <c r="H218" s="17">
        <v>15370.78</v>
      </c>
      <c r="I218" s="11">
        <v>2130.0328</v>
      </c>
      <c r="J218" s="11">
        <v>90353.6759558791</v>
      </c>
      <c r="K218" s="17">
        <v>16817.77</v>
      </c>
    </row>
    <row r="219" spans="1:11">
      <c r="A219" s="1" t="s">
        <v>5</v>
      </c>
      <c r="B219" s="1">
        <v>2083</v>
      </c>
      <c r="C219" s="10">
        <v>1965.8149</v>
      </c>
      <c r="D219" s="11">
        <v>74828.0746893348</v>
      </c>
      <c r="E219" s="18">
        <v>16350.48</v>
      </c>
      <c r="F219" s="11">
        <v>2051.5665</v>
      </c>
      <c r="G219" s="11">
        <v>74498.6126039839</v>
      </c>
      <c r="H219" s="17">
        <v>15370.78</v>
      </c>
      <c r="I219" s="11">
        <v>2082.2856</v>
      </c>
      <c r="J219" s="11">
        <v>90962.7630664248</v>
      </c>
      <c r="K219" s="17">
        <v>16817.77</v>
      </c>
    </row>
    <row r="220" spans="1:11">
      <c r="A220" s="1" t="s">
        <v>5</v>
      </c>
      <c r="B220" s="1">
        <v>2084</v>
      </c>
      <c r="C220" s="10">
        <v>1916.0162</v>
      </c>
      <c r="D220" s="11">
        <v>74859.4045979209</v>
      </c>
      <c r="E220" s="18">
        <v>16350.48</v>
      </c>
      <c r="F220" s="11">
        <v>2012.9596</v>
      </c>
      <c r="G220" s="11">
        <v>74502.5520395962</v>
      </c>
      <c r="H220" s="17">
        <v>15370.78</v>
      </c>
      <c r="I220" s="11">
        <v>2034.2425</v>
      </c>
      <c r="J220" s="11">
        <v>91539.9612184093</v>
      </c>
      <c r="K220" s="17">
        <v>16817.77</v>
      </c>
    </row>
    <row r="221" spans="1:11">
      <c r="A221" s="1" t="s">
        <v>5</v>
      </c>
      <c r="B221" s="1">
        <v>2085</v>
      </c>
      <c r="C221" s="10">
        <v>1866.5655</v>
      </c>
      <c r="D221" s="11">
        <v>74890.832719015</v>
      </c>
      <c r="E221" s="18">
        <v>16350.48</v>
      </c>
      <c r="F221" s="11">
        <v>1975.1298</v>
      </c>
      <c r="G221" s="11">
        <v>74534.9196612451</v>
      </c>
      <c r="H221" s="17">
        <v>15370.78</v>
      </c>
      <c r="I221" s="11">
        <v>1986.5839</v>
      </c>
      <c r="J221" s="11">
        <v>92097.9327903526</v>
      </c>
      <c r="K221" s="17">
        <v>16817.77</v>
      </c>
    </row>
    <row r="222" spans="1:11">
      <c r="A222" s="1" t="s">
        <v>5</v>
      </c>
      <c r="B222" s="1">
        <v>2086</v>
      </c>
      <c r="C222" s="10">
        <v>1818.1069</v>
      </c>
      <c r="D222" s="11">
        <v>74939.689246575</v>
      </c>
      <c r="E222" s="18">
        <v>16350.48</v>
      </c>
      <c r="F222" s="11">
        <v>1938.4313</v>
      </c>
      <c r="G222" s="11">
        <v>74620.0303209422</v>
      </c>
      <c r="H222" s="17">
        <v>15370.78</v>
      </c>
      <c r="I222" s="11">
        <v>1939.9581</v>
      </c>
      <c r="J222" s="11">
        <v>92646.6808740364</v>
      </c>
      <c r="K222" s="17">
        <v>16817.77</v>
      </c>
    </row>
    <row r="223" spans="1:11">
      <c r="A223" s="1" t="s">
        <v>5</v>
      </c>
      <c r="B223" s="1">
        <v>2087</v>
      </c>
      <c r="C223" s="10">
        <v>1771.1239</v>
      </c>
      <c r="D223" s="11">
        <v>74990.4766961856</v>
      </c>
      <c r="E223" s="18">
        <v>16350.48</v>
      </c>
      <c r="F223" s="11">
        <v>1903.0739</v>
      </c>
      <c r="G223" s="11">
        <v>74739.8289850764</v>
      </c>
      <c r="H223" s="17">
        <v>15370.78</v>
      </c>
      <c r="I223" s="11">
        <v>1894.8268</v>
      </c>
      <c r="J223" s="11">
        <v>93185.5714142869</v>
      </c>
      <c r="K223" s="17">
        <v>16817.77</v>
      </c>
    </row>
    <row r="224" spans="1:11">
      <c r="A224" s="1" t="s">
        <v>5</v>
      </c>
      <c r="B224" s="1">
        <v>2088</v>
      </c>
      <c r="C224" s="10">
        <v>1726.0691</v>
      </c>
      <c r="D224" s="11">
        <v>75019.4906638387</v>
      </c>
      <c r="E224" s="18">
        <v>16350.48</v>
      </c>
      <c r="F224" s="11">
        <v>1869.2355</v>
      </c>
      <c r="G224" s="11">
        <v>74865.668148631</v>
      </c>
      <c r="H224" s="17">
        <v>15370.78</v>
      </c>
      <c r="I224" s="11">
        <v>1851.6129</v>
      </c>
      <c r="J224" s="11">
        <v>93711.3110691918</v>
      </c>
      <c r="K224" s="17">
        <v>16817.77</v>
      </c>
    </row>
    <row r="225" spans="1:11">
      <c r="A225" s="1" t="s">
        <v>5</v>
      </c>
      <c r="B225" s="1">
        <v>2089</v>
      </c>
      <c r="C225" s="10">
        <v>1683.4082</v>
      </c>
      <c r="D225" s="11">
        <v>75003.0267455257</v>
      </c>
      <c r="E225" s="18">
        <v>16350.48</v>
      </c>
      <c r="F225" s="11">
        <v>1837.1007</v>
      </c>
      <c r="G225" s="11">
        <v>74968.9003065895</v>
      </c>
      <c r="H225" s="17">
        <v>15370.78</v>
      </c>
      <c r="I225" s="11">
        <v>1810.751</v>
      </c>
      <c r="J225" s="11">
        <v>94220.6064968387</v>
      </c>
      <c r="K225" s="17">
        <v>16817.77</v>
      </c>
    </row>
    <row r="226" spans="1:11">
      <c r="A226" s="1" t="s">
        <v>5</v>
      </c>
      <c r="B226" s="1">
        <v>2090</v>
      </c>
      <c r="C226" s="10">
        <v>1643.62</v>
      </c>
      <c r="D226" s="11">
        <v>74917.3805372385</v>
      </c>
      <c r="E226" s="18">
        <v>16350.48</v>
      </c>
      <c r="F226" s="11">
        <v>1806.8605</v>
      </c>
      <c r="G226" s="11">
        <v>75020.8779539353</v>
      </c>
      <c r="H226" s="17">
        <v>15370.78</v>
      </c>
      <c r="I226" s="11">
        <v>1772.6869</v>
      </c>
      <c r="J226" s="11">
        <v>94710.1643553152</v>
      </c>
      <c r="K226" s="17">
        <v>16817.77</v>
      </c>
    </row>
    <row r="227" spans="1:11">
      <c r="A227" s="1" t="s">
        <v>5</v>
      </c>
      <c r="B227" s="1">
        <v>2091</v>
      </c>
      <c r="C227" s="10">
        <v>1607.0478</v>
      </c>
      <c r="D227" s="11">
        <v>74747.5351217914</v>
      </c>
      <c r="E227" s="18">
        <v>16350.48</v>
      </c>
      <c r="F227" s="11">
        <v>1778.6367</v>
      </c>
      <c r="G227" s="11">
        <v>75001.1392500987</v>
      </c>
      <c r="H227" s="17">
        <v>15370.78</v>
      </c>
      <c r="I227" s="11">
        <v>1737.7383</v>
      </c>
      <c r="J227" s="11">
        <v>95177.6479143007</v>
      </c>
      <c r="K227" s="17">
        <v>16817.77</v>
      </c>
    </row>
    <row r="228" spans="1:11">
      <c r="A228" s="1" t="s">
        <v>5</v>
      </c>
      <c r="B228" s="1">
        <v>2092</v>
      </c>
      <c r="C228" s="10">
        <v>1573.4493</v>
      </c>
      <c r="D228" s="11">
        <v>74513.2235292909</v>
      </c>
      <c r="E228" s="18">
        <v>16350.48</v>
      </c>
      <c r="F228" s="11">
        <v>1752.2521</v>
      </c>
      <c r="G228" s="11">
        <v>74921.9650122981</v>
      </c>
      <c r="H228" s="17">
        <v>15370.78</v>
      </c>
      <c r="I228" s="11">
        <v>1705.6719</v>
      </c>
      <c r="J228" s="11">
        <v>95624.5468898415</v>
      </c>
      <c r="K228" s="17">
        <v>16817.77</v>
      </c>
    </row>
    <row r="229" spans="1:11">
      <c r="A229" s="1" t="s">
        <v>5</v>
      </c>
      <c r="B229" s="1">
        <v>2093</v>
      </c>
      <c r="C229" s="10">
        <v>1542.4266</v>
      </c>
      <c r="D229" s="11">
        <v>74242.8662766664</v>
      </c>
      <c r="E229" s="18">
        <v>16350.48</v>
      </c>
      <c r="F229" s="11">
        <v>1727.4484</v>
      </c>
      <c r="G229" s="11">
        <v>74803.821722199</v>
      </c>
      <c r="H229" s="17">
        <v>15370.78</v>
      </c>
      <c r="I229" s="11">
        <v>1676.1082</v>
      </c>
      <c r="J229" s="11">
        <v>96053.3076095756</v>
      </c>
      <c r="K229" s="17">
        <v>16817.77</v>
      </c>
    </row>
    <row r="230" spans="1:11">
      <c r="A230" s="1" t="s">
        <v>5</v>
      </c>
      <c r="B230" s="1">
        <v>2094</v>
      </c>
      <c r="C230" s="10">
        <v>1513.5719</v>
      </c>
      <c r="D230" s="11">
        <v>73964.8838808472</v>
      </c>
      <c r="E230" s="18">
        <v>16350.48</v>
      </c>
      <c r="F230" s="11">
        <v>1703.9604</v>
      </c>
      <c r="G230" s="11">
        <v>74667.1758614668</v>
      </c>
      <c r="H230" s="17">
        <v>15370.78</v>
      </c>
      <c r="I230" s="11">
        <v>1648.6586</v>
      </c>
      <c r="J230" s="11">
        <v>96466.376401141</v>
      </c>
      <c r="K230" s="17">
        <v>16817.77</v>
      </c>
    </row>
    <row r="231" spans="1:11">
      <c r="A231" s="1" t="s">
        <v>5</v>
      </c>
      <c r="B231" s="1">
        <v>2095</v>
      </c>
      <c r="C231" s="10">
        <v>1486.468</v>
      </c>
      <c r="D231" s="11">
        <v>73707.6968587624</v>
      </c>
      <c r="E231" s="18">
        <v>16350.48</v>
      </c>
      <c r="F231" s="11">
        <v>1681.5165</v>
      </c>
      <c r="G231" s="11">
        <v>74532.4939117666</v>
      </c>
      <c r="H231" s="17">
        <v>15370.78</v>
      </c>
      <c r="I231" s="11">
        <v>1622.9261</v>
      </c>
      <c r="J231" s="11">
        <v>96866.1995921757</v>
      </c>
      <c r="K231" s="17">
        <v>16817.77</v>
      </c>
    </row>
    <row r="232" spans="1:11">
      <c r="A232" s="1" t="s">
        <v>5</v>
      </c>
      <c r="B232" s="1">
        <v>2096</v>
      </c>
      <c r="C232" s="10">
        <v>1460.6896</v>
      </c>
      <c r="D232" s="11">
        <v>73499.7257273416</v>
      </c>
      <c r="E232" s="18">
        <v>16350.48</v>
      </c>
      <c r="F232" s="11">
        <v>1659.8389</v>
      </c>
      <c r="G232" s="11">
        <v>74420.2423547641</v>
      </c>
      <c r="H232" s="17">
        <v>15370.78</v>
      </c>
      <c r="I232" s="11">
        <v>1598.5057</v>
      </c>
      <c r="J232" s="11">
        <v>97255.2235103177</v>
      </c>
      <c r="K232" s="17">
        <v>16817.77</v>
      </c>
    </row>
    <row r="233" spans="1:11">
      <c r="A233" s="1" t="s">
        <v>5</v>
      </c>
      <c r="B233" s="1">
        <v>2097</v>
      </c>
      <c r="C233" s="10">
        <v>1435.8037</v>
      </c>
      <c r="D233" s="11">
        <v>73369.391003514</v>
      </c>
      <c r="E233" s="18">
        <v>16350.48</v>
      </c>
      <c r="F233" s="11">
        <v>1638.6442</v>
      </c>
      <c r="G233" s="11">
        <v>74350.8876721245</v>
      </c>
      <c r="H233" s="17">
        <v>15370.78</v>
      </c>
      <c r="I233" s="11">
        <v>1574.9857</v>
      </c>
      <c r="J233" s="11">
        <v>97635.894483205</v>
      </c>
      <c r="K233" s="17">
        <v>16817.77</v>
      </c>
    </row>
    <row r="234" spans="1:11">
      <c r="A234" s="1" t="s">
        <v>5</v>
      </c>
      <c r="B234" s="1">
        <v>2098</v>
      </c>
      <c r="C234" s="10">
        <v>1411.3705</v>
      </c>
      <c r="D234" s="11">
        <v>73345.113204209</v>
      </c>
      <c r="E234" s="18">
        <v>16350.48</v>
      </c>
      <c r="F234" s="11">
        <v>1617.6435</v>
      </c>
      <c r="G234" s="11">
        <v>74344.8963455132</v>
      </c>
      <c r="H234" s="17">
        <v>15370.78</v>
      </c>
      <c r="I234" s="11">
        <v>1551.9481</v>
      </c>
      <c r="J234" s="11">
        <v>98010.6588384755</v>
      </c>
      <c r="K234" s="17">
        <v>16817.77</v>
      </c>
    </row>
    <row r="235" spans="1:11">
      <c r="A235" s="1" t="s">
        <v>5</v>
      </c>
      <c r="B235" s="1">
        <v>2099</v>
      </c>
      <c r="C235" s="10">
        <v>1386.9447</v>
      </c>
      <c r="D235" s="11">
        <v>73455.3128463558</v>
      </c>
      <c r="E235" s="18">
        <v>16350.48</v>
      </c>
      <c r="F235" s="11">
        <v>1596.543</v>
      </c>
      <c r="G235" s="11">
        <v>74422.7348565957</v>
      </c>
      <c r="H235" s="17">
        <v>15370.78</v>
      </c>
      <c r="I235" s="11">
        <v>1528.9699</v>
      </c>
      <c r="J235" s="11">
        <v>98381.9629037674</v>
      </c>
      <c r="K235" s="17">
        <v>16817.77</v>
      </c>
    </row>
    <row r="236" spans="1:11">
      <c r="A236" s="1" t="s">
        <v>5</v>
      </c>
      <c r="B236" s="1">
        <v>2100</v>
      </c>
      <c r="C236" s="10">
        <v>1362.0759</v>
      </c>
      <c r="D236" s="11">
        <v>73728.4104468837</v>
      </c>
      <c r="E236" s="18">
        <v>16350.48</v>
      </c>
      <c r="F236" s="11">
        <v>1575.0439</v>
      </c>
      <c r="G236" s="11">
        <v>74604.8696870372</v>
      </c>
      <c r="H236" s="17">
        <v>15370.78</v>
      </c>
      <c r="I236" s="11">
        <v>1505.6234</v>
      </c>
      <c r="J236" s="11">
        <v>98752.2530067187</v>
      </c>
      <c r="K236" s="17">
        <v>16817.77</v>
      </c>
    </row>
    <row r="237" spans="1:11">
      <c r="A237" s="1" t="s">
        <v>6</v>
      </c>
      <c r="B237" s="1">
        <v>2023</v>
      </c>
      <c r="C237" s="10">
        <v>2555.7811</v>
      </c>
      <c r="D237" s="11">
        <v>36937.6368801218</v>
      </c>
      <c r="E237" s="21">
        <v>4353.97567461491</v>
      </c>
      <c r="F237" s="11">
        <v>2588.723</v>
      </c>
      <c r="G237" s="11">
        <v>35177.6767804304</v>
      </c>
      <c r="H237" s="17">
        <v>4226.38</v>
      </c>
      <c r="I237" s="11">
        <v>2616.8631</v>
      </c>
      <c r="J237" s="11">
        <v>37680.8855923031</v>
      </c>
      <c r="K237" s="17">
        <v>4360.24057257176</v>
      </c>
    </row>
    <row r="238" spans="1:11">
      <c r="A238" s="1" t="s">
        <v>6</v>
      </c>
      <c r="B238" s="1">
        <v>2024</v>
      </c>
      <c r="C238" s="10">
        <v>2568.3635</v>
      </c>
      <c r="D238" s="11">
        <v>38087.7647177064</v>
      </c>
      <c r="E238" s="3">
        <f>(E237+E239)/2</f>
        <v>4539.00354944706</v>
      </c>
      <c r="F238" s="11">
        <v>2604.2011</v>
      </c>
      <c r="G238" s="11">
        <v>37014.6581340627</v>
      </c>
      <c r="H238" s="4">
        <f>(H237+H239)/2</f>
        <v>4372.92</v>
      </c>
      <c r="I238" s="11">
        <v>2642.7435</v>
      </c>
      <c r="J238" s="11">
        <v>38627.3251394702</v>
      </c>
      <c r="K238" s="4">
        <f>(K237+K239)/2</f>
        <v>4553.71599277139</v>
      </c>
    </row>
    <row r="239" spans="1:11">
      <c r="A239" s="1" t="s">
        <v>6</v>
      </c>
      <c r="B239" s="1">
        <v>2025</v>
      </c>
      <c r="C239" s="10">
        <v>2580.5518</v>
      </c>
      <c r="D239" s="11">
        <v>39539.5194748789</v>
      </c>
      <c r="E239" s="21">
        <v>4724.03142427921</v>
      </c>
      <c r="F239" s="11">
        <v>2618.7588</v>
      </c>
      <c r="G239" s="11">
        <v>39013.0666532352</v>
      </c>
      <c r="H239" s="17">
        <v>4519.46</v>
      </c>
      <c r="I239" s="11">
        <v>2669.9196</v>
      </c>
      <c r="J239" s="11">
        <v>39918.4997159487</v>
      </c>
      <c r="K239" s="17">
        <v>4747.19141297102</v>
      </c>
    </row>
    <row r="240" spans="1:11">
      <c r="A240" s="1" t="s">
        <v>6</v>
      </c>
      <c r="B240" s="1">
        <v>2026</v>
      </c>
      <c r="C240" s="10">
        <v>2592.5087</v>
      </c>
      <c r="D240" s="11">
        <v>41405.1986440806</v>
      </c>
      <c r="E240" s="3">
        <f t="shared" ref="E240:E243" si="43">E239*(1+$L$239)</f>
        <v>4724.03142427921</v>
      </c>
      <c r="F240" s="11">
        <v>2632.5555</v>
      </c>
      <c r="G240" s="11">
        <v>41182.3068813267</v>
      </c>
      <c r="H240" s="4">
        <f t="shared" ref="H240:H243" si="44">H239*(1+M$239)</f>
        <v>4519.46</v>
      </c>
      <c r="I240" s="11">
        <v>2698.6157</v>
      </c>
      <c r="J240" s="11">
        <v>41700.0262215538</v>
      </c>
      <c r="K240" s="4">
        <f t="shared" ref="K240:K243" si="45">K239*(1+N$239)</f>
        <v>4747.19141297102</v>
      </c>
    </row>
    <row r="241" spans="1:11">
      <c r="A241" s="1" t="s">
        <v>6</v>
      </c>
      <c r="B241" s="1">
        <v>2027</v>
      </c>
      <c r="C241" s="10">
        <v>2604.2541</v>
      </c>
      <c r="D241" s="11">
        <v>43539.5746520799</v>
      </c>
      <c r="E241" s="3">
        <f t="shared" si="43"/>
        <v>4724.03142427921</v>
      </c>
      <c r="F241" s="11">
        <v>2645.6578</v>
      </c>
      <c r="G241" s="11">
        <v>43418.9562370822</v>
      </c>
      <c r="H241" s="4">
        <f t="shared" si="44"/>
        <v>4519.46</v>
      </c>
      <c r="I241" s="11">
        <v>2728.5033</v>
      </c>
      <c r="J241" s="11">
        <v>43821.5548865241</v>
      </c>
      <c r="K241" s="4">
        <f t="shared" si="45"/>
        <v>4747.19141297102</v>
      </c>
    </row>
    <row r="242" spans="1:11">
      <c r="A242" s="1" t="s">
        <v>6</v>
      </c>
      <c r="B242" s="1">
        <v>2028</v>
      </c>
      <c r="C242" s="10">
        <v>2615.7718</v>
      </c>
      <c r="D242" s="11">
        <v>45733.0386592269</v>
      </c>
      <c r="E242" s="3">
        <f t="shared" si="43"/>
        <v>4724.03142427921</v>
      </c>
      <c r="F242" s="11">
        <v>2658.1096</v>
      </c>
      <c r="G242" s="11">
        <v>45591.385358088</v>
      </c>
      <c r="H242" s="4">
        <f t="shared" si="44"/>
        <v>4519.46</v>
      </c>
      <c r="I242" s="11">
        <v>2759.1145</v>
      </c>
      <c r="J242" s="11">
        <v>46058.7442737045</v>
      </c>
      <c r="K242" s="4">
        <f t="shared" si="45"/>
        <v>4747.19141297102</v>
      </c>
    </row>
    <row r="243" spans="1:11">
      <c r="A243" s="1" t="s">
        <v>6</v>
      </c>
      <c r="B243" s="1">
        <v>2029</v>
      </c>
      <c r="C243" s="10">
        <v>2627.0445</v>
      </c>
      <c r="D243" s="11">
        <v>47775.9818258718</v>
      </c>
      <c r="E243" s="3">
        <f t="shared" si="43"/>
        <v>4724.03142427921</v>
      </c>
      <c r="F243" s="11">
        <v>2669.9548</v>
      </c>
      <c r="G243" s="11">
        <v>47567.9648819304</v>
      </c>
      <c r="H243" s="4">
        <f t="shared" si="44"/>
        <v>4519.46</v>
      </c>
      <c r="I243" s="11">
        <v>2789.9796</v>
      </c>
      <c r="J243" s="11">
        <v>48187.2529459399</v>
      </c>
      <c r="K243" s="4">
        <f t="shared" si="45"/>
        <v>4747.19141297102</v>
      </c>
    </row>
    <row r="244" spans="1:11">
      <c r="A244" s="1" t="s">
        <v>6</v>
      </c>
      <c r="B244" s="1">
        <v>2030</v>
      </c>
      <c r="C244" s="10">
        <v>2638.0537</v>
      </c>
      <c r="D244" s="11">
        <v>49458.7953123648</v>
      </c>
      <c r="E244" s="18">
        <v>4732.59142427921</v>
      </c>
      <c r="F244" s="11">
        <v>2681.2382</v>
      </c>
      <c r="G244" s="11">
        <v>49217.0654461958</v>
      </c>
      <c r="H244" s="17">
        <v>4525.86</v>
      </c>
      <c r="I244" s="11">
        <v>2820.6268</v>
      </c>
      <c r="J244" s="11">
        <v>49982.7394660751</v>
      </c>
      <c r="K244" s="17">
        <v>4755.84141297102</v>
      </c>
    </row>
    <row r="245" spans="1:11">
      <c r="A245" s="1" t="s">
        <v>6</v>
      </c>
      <c r="B245" s="1">
        <v>2031</v>
      </c>
      <c r="C245" s="10">
        <v>2648.7784</v>
      </c>
      <c r="D245" s="11">
        <v>50636.0401123389</v>
      </c>
      <c r="E245" s="3">
        <f t="shared" ref="E245:E248" si="46">E244*(1+$L$244)</f>
        <v>4732.59142427921</v>
      </c>
      <c r="F245" s="11">
        <v>2692.0053</v>
      </c>
      <c r="G245" s="11">
        <v>50451.557602022</v>
      </c>
      <c r="H245" s="4">
        <f t="shared" ref="H245:H248" si="47">H244*(1+M$244)</f>
        <v>4525.86</v>
      </c>
      <c r="I245" s="11">
        <v>2850.6728</v>
      </c>
      <c r="J245" s="11">
        <v>51285.6629545343</v>
      </c>
      <c r="K245" s="4">
        <f t="shared" ref="K245:K248" si="48">K244*(1+N$244)</f>
        <v>4755.84141297102</v>
      </c>
    </row>
    <row r="246" spans="1:11">
      <c r="A246" s="1" t="s">
        <v>6</v>
      </c>
      <c r="B246" s="1">
        <v>2032</v>
      </c>
      <c r="C246" s="10">
        <v>2659.1911</v>
      </c>
      <c r="D246" s="11">
        <v>51418.9565525594</v>
      </c>
      <c r="E246" s="3">
        <f t="shared" si="46"/>
        <v>4732.59142427921</v>
      </c>
      <c r="F246" s="11">
        <v>2702.304</v>
      </c>
      <c r="G246" s="11">
        <v>51362.3115547522</v>
      </c>
      <c r="H246" s="4">
        <f t="shared" si="47"/>
        <v>4525.86</v>
      </c>
      <c r="I246" s="11">
        <v>2880.1004</v>
      </c>
      <c r="J246" s="11">
        <v>52195.6847620596</v>
      </c>
      <c r="K246" s="4">
        <f t="shared" si="48"/>
        <v>4755.84141297102</v>
      </c>
    </row>
    <row r="247" spans="1:11">
      <c r="A247" s="1" t="s">
        <v>6</v>
      </c>
      <c r="B247" s="1">
        <v>2033</v>
      </c>
      <c r="C247" s="10">
        <v>2669.2626</v>
      </c>
      <c r="D247" s="11">
        <v>51982.9547930743</v>
      </c>
      <c r="E247" s="3">
        <f t="shared" si="46"/>
        <v>4732.59142427921</v>
      </c>
      <c r="F247" s="11">
        <v>2712.1834</v>
      </c>
      <c r="G247" s="11">
        <v>52084.6974232812</v>
      </c>
      <c r="H247" s="4">
        <f t="shared" si="47"/>
        <v>4525.86</v>
      </c>
      <c r="I247" s="11">
        <v>2908.9839</v>
      </c>
      <c r="J247" s="11">
        <v>52877.2667969722</v>
      </c>
      <c r="K247" s="4">
        <f t="shared" si="48"/>
        <v>4755.84141297102</v>
      </c>
    </row>
    <row r="248" spans="1:11">
      <c r="A248" s="1" t="s">
        <v>6</v>
      </c>
      <c r="B248" s="1">
        <v>2034</v>
      </c>
      <c r="C248" s="10">
        <v>2678.9638</v>
      </c>
      <c r="D248" s="11">
        <v>52503.4449939317</v>
      </c>
      <c r="E248" s="3">
        <f t="shared" si="46"/>
        <v>4732.59142427921</v>
      </c>
      <c r="F248" s="11">
        <v>2721.6927</v>
      </c>
      <c r="G248" s="11">
        <v>52754.0853265037</v>
      </c>
      <c r="H248" s="4">
        <f t="shared" si="47"/>
        <v>4525.86</v>
      </c>
      <c r="I248" s="11">
        <v>2937.3972</v>
      </c>
      <c r="J248" s="11">
        <v>53494.8709675935</v>
      </c>
      <c r="K248" s="4">
        <f t="shared" si="48"/>
        <v>4755.84141297102</v>
      </c>
    </row>
    <row r="249" spans="1:11">
      <c r="A249" s="1" t="s">
        <v>6</v>
      </c>
      <c r="B249" s="1">
        <v>2035</v>
      </c>
      <c r="C249" s="10">
        <v>2688.2653</v>
      </c>
      <c r="D249" s="11">
        <v>53155.8373151798</v>
      </c>
      <c r="E249" s="18">
        <v>4737.92142427921</v>
      </c>
      <c r="F249" s="11">
        <v>2730.8814</v>
      </c>
      <c r="G249" s="11">
        <v>53505.8453833144</v>
      </c>
      <c r="H249" s="17">
        <v>4530.6</v>
      </c>
      <c r="I249" s="11">
        <v>2965.4141</v>
      </c>
      <c r="J249" s="11">
        <v>54212.959182245</v>
      </c>
      <c r="K249" s="17">
        <v>4761.64141297102</v>
      </c>
    </row>
    <row r="250" spans="1:11">
      <c r="A250" s="1" t="s">
        <v>6</v>
      </c>
      <c r="B250" s="1">
        <v>2036</v>
      </c>
      <c r="C250" s="10">
        <v>2697.1372</v>
      </c>
      <c r="D250" s="11">
        <v>54071.7414416434</v>
      </c>
      <c r="E250" s="3">
        <f t="shared" ref="E250:E253" si="49">E249*(1+$L$249)</f>
        <v>4737.92142427921</v>
      </c>
      <c r="F250" s="11">
        <v>2739.7796</v>
      </c>
      <c r="G250" s="11">
        <v>54443.9287525332</v>
      </c>
      <c r="H250" s="4">
        <f t="shared" ref="H250:H253" si="50">H249*(1+M$249)</f>
        <v>4530.6</v>
      </c>
      <c r="I250" s="11">
        <v>2993.0848</v>
      </c>
      <c r="J250" s="11">
        <v>55159.0158835638</v>
      </c>
      <c r="K250" s="4">
        <f t="shared" ref="K250:K253" si="51">K249*(1+N$249)</f>
        <v>4761.64141297102</v>
      </c>
    </row>
    <row r="251" spans="1:11">
      <c r="A251" s="1" t="s">
        <v>6</v>
      </c>
      <c r="B251" s="1">
        <v>2037</v>
      </c>
      <c r="C251" s="10">
        <v>2705.5486</v>
      </c>
      <c r="D251" s="11">
        <v>55207.565157254</v>
      </c>
      <c r="E251" s="3">
        <f t="shared" si="49"/>
        <v>4737.92142427921</v>
      </c>
      <c r="F251" s="11">
        <v>2748.3373</v>
      </c>
      <c r="G251" s="11">
        <v>55546.6107526813</v>
      </c>
      <c r="H251" s="4">
        <f t="shared" si="50"/>
        <v>4530.6</v>
      </c>
      <c r="I251" s="11">
        <v>3020.3659</v>
      </c>
      <c r="J251" s="11">
        <v>56312.6156514507</v>
      </c>
      <c r="K251" s="4">
        <f t="shared" si="51"/>
        <v>4761.64141297102</v>
      </c>
    </row>
    <row r="252" spans="1:11">
      <c r="A252" s="1" t="s">
        <v>6</v>
      </c>
      <c r="B252" s="1">
        <v>2038</v>
      </c>
      <c r="C252" s="10">
        <v>2713.4678</v>
      </c>
      <c r="D252" s="11">
        <v>56475.9157707199</v>
      </c>
      <c r="E252" s="3">
        <f t="shared" si="49"/>
        <v>4737.92142427921</v>
      </c>
      <c r="F252" s="11">
        <v>2756.4846</v>
      </c>
      <c r="G252" s="11">
        <v>56760.747742205</v>
      </c>
      <c r="H252" s="4">
        <f t="shared" si="50"/>
        <v>4530.6</v>
      </c>
      <c r="I252" s="11">
        <v>3047.1903</v>
      </c>
      <c r="J252" s="11">
        <v>57616.3556001219</v>
      </c>
      <c r="K252" s="4">
        <f t="shared" si="51"/>
        <v>4761.64141297102</v>
      </c>
    </row>
    <row r="253" spans="1:11">
      <c r="A253" s="1" t="s">
        <v>6</v>
      </c>
      <c r="B253" s="1">
        <v>2039</v>
      </c>
      <c r="C253" s="10">
        <v>2720.8632</v>
      </c>
      <c r="D253" s="11">
        <v>57789.4005907493</v>
      </c>
      <c r="E253" s="3">
        <f t="shared" si="49"/>
        <v>4737.92142427921</v>
      </c>
      <c r="F253" s="11">
        <v>2764.151</v>
      </c>
      <c r="G253" s="11">
        <v>58033.1960795508</v>
      </c>
      <c r="H253" s="4">
        <f t="shared" si="50"/>
        <v>4530.6</v>
      </c>
      <c r="I253" s="11">
        <v>3073.4903</v>
      </c>
      <c r="J253" s="11">
        <v>59012.832843794</v>
      </c>
      <c r="K253" s="4">
        <f t="shared" si="51"/>
        <v>4761.64141297102</v>
      </c>
    </row>
    <row r="254" spans="1:11">
      <c r="A254" s="1" t="s">
        <v>6</v>
      </c>
      <c r="B254" s="1">
        <v>2040</v>
      </c>
      <c r="C254" s="10">
        <v>2727.7029</v>
      </c>
      <c r="D254" s="11">
        <v>59060.6269260503</v>
      </c>
      <c r="E254" s="18">
        <v>4743.25142427921</v>
      </c>
      <c r="F254" s="11">
        <v>2771.2656</v>
      </c>
      <c r="G254" s="11">
        <v>59310.8121231648</v>
      </c>
      <c r="H254" s="17">
        <v>4534.0175084877</v>
      </c>
      <c r="I254" s="11">
        <v>3099.1978</v>
      </c>
      <c r="J254" s="11">
        <v>60444.6444966835</v>
      </c>
      <c r="K254" s="17">
        <v>4767.40141297102</v>
      </c>
    </row>
    <row r="255" spans="1:11">
      <c r="A255" s="1" t="s">
        <v>6</v>
      </c>
      <c r="B255" s="1">
        <v>2041</v>
      </c>
      <c r="C255" s="10">
        <v>2733.9624</v>
      </c>
      <c r="D255" s="11">
        <v>60221.6977513927</v>
      </c>
      <c r="E255" s="3">
        <f t="shared" ref="E255:E258" si="52">E254*(1+$L$254)</f>
        <v>4743.25142427921</v>
      </c>
      <c r="F255" s="11">
        <v>2777.7764</v>
      </c>
      <c r="G255" s="11">
        <v>60549.3061663826</v>
      </c>
      <c r="H255" s="4">
        <f t="shared" ref="H255:H258" si="53">H254*(1+M$254)</f>
        <v>4534.0175084877</v>
      </c>
      <c r="I255" s="11">
        <v>3124.2594</v>
      </c>
      <c r="J255" s="11">
        <v>61861.5300511693</v>
      </c>
      <c r="K255" s="4">
        <f t="shared" ref="K255:K258" si="54">K254*(1+N$254)</f>
        <v>4767.40141297102</v>
      </c>
    </row>
    <row r="256" spans="1:11">
      <c r="A256" s="1" t="s">
        <v>6</v>
      </c>
      <c r="B256" s="1">
        <v>2042</v>
      </c>
      <c r="C256" s="10">
        <v>2739.6474</v>
      </c>
      <c r="D256" s="11">
        <v>61282.6987057916</v>
      </c>
      <c r="E256" s="3">
        <f t="shared" si="52"/>
        <v>4743.25142427921</v>
      </c>
      <c r="F256" s="11">
        <v>2783.7081</v>
      </c>
      <c r="G256" s="11">
        <v>61739.8042420952</v>
      </c>
      <c r="H256" s="4">
        <f t="shared" si="53"/>
        <v>4534.0175084877</v>
      </c>
      <c r="I256" s="11">
        <v>3148.6817</v>
      </c>
      <c r="J256" s="11">
        <v>63241.7985122803</v>
      </c>
      <c r="K256" s="4">
        <f t="shared" si="54"/>
        <v>4767.40141297102</v>
      </c>
    </row>
    <row r="257" spans="1:11">
      <c r="A257" s="1" t="s">
        <v>6</v>
      </c>
      <c r="B257" s="1">
        <v>2043</v>
      </c>
      <c r="C257" s="10">
        <v>2744.7707</v>
      </c>
      <c r="D257" s="11">
        <v>62273.2110943234</v>
      </c>
      <c r="E257" s="3">
        <f t="shared" si="52"/>
        <v>4743.25142427921</v>
      </c>
      <c r="F257" s="11">
        <v>2789.1045</v>
      </c>
      <c r="G257" s="11">
        <v>62882.2863180827</v>
      </c>
      <c r="H257" s="4">
        <f t="shared" si="53"/>
        <v>4534.0175084877</v>
      </c>
      <c r="I257" s="11">
        <v>3172.4862</v>
      </c>
      <c r="J257" s="11">
        <v>64570.9012632075</v>
      </c>
      <c r="K257" s="4">
        <f t="shared" si="54"/>
        <v>4767.40141297102</v>
      </c>
    </row>
    <row r="258" spans="1:11">
      <c r="A258" s="1" t="s">
        <v>6</v>
      </c>
      <c r="B258" s="1">
        <v>2044</v>
      </c>
      <c r="C258" s="10">
        <v>2749.3452</v>
      </c>
      <c r="D258" s="11">
        <v>63222.8162220647</v>
      </c>
      <c r="E258" s="3">
        <f t="shared" si="52"/>
        <v>4743.25142427921</v>
      </c>
      <c r="F258" s="11">
        <v>2794.009</v>
      </c>
      <c r="G258" s="11">
        <v>63976.7323621252</v>
      </c>
      <c r="H258" s="4">
        <f t="shared" si="53"/>
        <v>4534.0175084877</v>
      </c>
      <c r="I258" s="11">
        <v>3195.6933</v>
      </c>
      <c r="J258" s="11">
        <v>65834.2896871425</v>
      </c>
      <c r="K258" s="4">
        <f t="shared" si="54"/>
        <v>4767.40141297102</v>
      </c>
    </row>
    <row r="259" spans="1:11">
      <c r="A259" s="1" t="s">
        <v>6</v>
      </c>
      <c r="B259" s="1">
        <v>2045</v>
      </c>
      <c r="C259" s="10">
        <v>2753.3832</v>
      </c>
      <c r="D259" s="11">
        <v>64161.0953940919</v>
      </c>
      <c r="E259" s="18">
        <v>4745.57142427921</v>
      </c>
      <c r="F259" s="11">
        <v>2798.4652</v>
      </c>
      <c r="G259" s="11">
        <v>65023.1223420029</v>
      </c>
      <c r="H259" s="17">
        <v>4536.6275084877</v>
      </c>
      <c r="I259" s="11">
        <v>3218.3228</v>
      </c>
      <c r="J259" s="11">
        <v>67017.4151672764</v>
      </c>
      <c r="K259" s="17">
        <v>4770.83141297102</v>
      </c>
    </row>
    <row r="260" spans="1:11">
      <c r="A260" s="1" t="s">
        <v>6</v>
      </c>
      <c r="B260" s="1">
        <v>2046</v>
      </c>
      <c r="C260" s="10">
        <v>2756.8926</v>
      </c>
      <c r="D260" s="11">
        <v>65108.8131429867</v>
      </c>
      <c r="E260" s="3">
        <f t="shared" ref="E260:E263" si="55">E259*(1+$L$259)</f>
        <v>4745.57142427921</v>
      </c>
      <c r="F260" s="11">
        <v>2802.4985</v>
      </c>
      <c r="G260" s="11">
        <v>66022.8618690939</v>
      </c>
      <c r="H260" s="4">
        <f t="shared" ref="H260:H263" si="56">H259*(1+M$259)</f>
        <v>4536.6275084877</v>
      </c>
      <c r="I260" s="11">
        <v>3240.3894</v>
      </c>
      <c r="J260" s="11">
        <v>68115.0667926841</v>
      </c>
      <c r="K260" s="4">
        <f t="shared" ref="K260:K263" si="57">K259*(1+N$259)</f>
        <v>4770.83141297102</v>
      </c>
    </row>
    <row r="261" spans="1:11">
      <c r="A261" s="1" t="s">
        <v>6</v>
      </c>
      <c r="B261" s="1">
        <v>2047</v>
      </c>
      <c r="C261" s="10">
        <v>2759.864</v>
      </c>
      <c r="D261" s="11">
        <v>66051.4669113513</v>
      </c>
      <c r="E261" s="3">
        <f t="shared" si="55"/>
        <v>4745.57142427921</v>
      </c>
      <c r="F261" s="11">
        <v>2806.0635</v>
      </c>
      <c r="G261" s="11">
        <v>66983.0591291694</v>
      </c>
      <c r="H261" s="4">
        <f t="shared" si="56"/>
        <v>4536.6275084877</v>
      </c>
      <c r="I261" s="11">
        <v>3261.891</v>
      </c>
      <c r="J261" s="11">
        <v>69159.3844759742</v>
      </c>
      <c r="K261" s="4">
        <f t="shared" si="57"/>
        <v>4770.83141297102</v>
      </c>
    </row>
    <row r="262" spans="1:11">
      <c r="A262" s="1" t="s">
        <v>6</v>
      </c>
      <c r="B262" s="1">
        <v>2048</v>
      </c>
      <c r="C262" s="10">
        <v>2762.2846</v>
      </c>
      <c r="D262" s="11">
        <v>66965.737369293</v>
      </c>
      <c r="E262" s="3">
        <f t="shared" si="55"/>
        <v>4745.57142427921</v>
      </c>
      <c r="F262" s="11">
        <v>2809.0977</v>
      </c>
      <c r="G262" s="11">
        <v>67912.2479515987</v>
      </c>
      <c r="H262" s="4">
        <f t="shared" si="56"/>
        <v>4536.6275084877</v>
      </c>
      <c r="I262" s="11">
        <v>3282.8231</v>
      </c>
      <c r="J262" s="11">
        <v>70191.845835639</v>
      </c>
      <c r="K262" s="4">
        <f t="shared" si="57"/>
        <v>4770.83141297102</v>
      </c>
    </row>
    <row r="263" spans="1:11">
      <c r="A263" s="1" t="s">
        <v>6</v>
      </c>
      <c r="B263" s="1">
        <v>2049</v>
      </c>
      <c r="C263" s="10">
        <v>2764.1418</v>
      </c>
      <c r="D263" s="11">
        <v>67828.3051869191</v>
      </c>
      <c r="E263" s="3">
        <f t="shared" si="55"/>
        <v>4745.57142427921</v>
      </c>
      <c r="F263" s="11">
        <v>2811.539</v>
      </c>
      <c r="G263" s="11">
        <v>68818.9621657511</v>
      </c>
      <c r="H263" s="4">
        <f t="shared" si="56"/>
        <v>4536.6275084877</v>
      </c>
      <c r="I263" s="11">
        <v>3303.183</v>
      </c>
      <c r="J263" s="11">
        <v>71253.9284901706</v>
      </c>
      <c r="K263" s="4">
        <f t="shared" si="57"/>
        <v>4770.83141297102</v>
      </c>
    </row>
    <row r="264" spans="1:11">
      <c r="A264" s="1" t="s">
        <v>6</v>
      </c>
      <c r="B264" s="1">
        <v>2050</v>
      </c>
      <c r="C264" s="10">
        <v>2765.4242</v>
      </c>
      <c r="D264" s="11">
        <v>68615.851034337</v>
      </c>
      <c r="E264" s="18">
        <v>4747.71142427921</v>
      </c>
      <c r="F264" s="11">
        <v>2813.326</v>
      </c>
      <c r="G264" s="11">
        <v>69711.7356009958</v>
      </c>
      <c r="H264" s="17">
        <v>4539.2575084877</v>
      </c>
      <c r="I264" s="11">
        <v>3322.9701</v>
      </c>
      <c r="J264" s="11">
        <v>72387.1100580614</v>
      </c>
      <c r="K264" s="17">
        <v>4774.15141297102</v>
      </c>
    </row>
    <row r="265" spans="1:11">
      <c r="A265" s="1" t="s">
        <v>6</v>
      </c>
      <c r="B265" s="1">
        <v>2051</v>
      </c>
      <c r="C265" s="10">
        <v>2766.118</v>
      </c>
      <c r="D265" s="11">
        <v>69317.3741691536</v>
      </c>
      <c r="E265" s="18">
        <v>4747.71142427921</v>
      </c>
      <c r="F265" s="11">
        <v>2814.4119</v>
      </c>
      <c r="G265" s="11">
        <v>70598.1870856196</v>
      </c>
      <c r="H265" s="17">
        <v>4539.2575084877</v>
      </c>
      <c r="I265" s="11">
        <v>3342.1826</v>
      </c>
      <c r="J265" s="11">
        <v>73624.6037118928</v>
      </c>
      <c r="K265" s="17">
        <v>4774.15141297102</v>
      </c>
    </row>
    <row r="266" spans="1:11">
      <c r="A266" s="1" t="s">
        <v>6</v>
      </c>
      <c r="B266" s="1">
        <v>2052</v>
      </c>
      <c r="C266" s="10">
        <v>2766.1992</v>
      </c>
      <c r="D266" s="11">
        <v>69971.1481989741</v>
      </c>
      <c r="E266" s="18">
        <v>4747.71142427921</v>
      </c>
      <c r="F266" s="11">
        <v>2814.8066</v>
      </c>
      <c r="G266" s="11">
        <v>71482.2754435785</v>
      </c>
      <c r="H266" s="17">
        <v>4539.2575084877</v>
      </c>
      <c r="I266" s="11">
        <v>3360.8087</v>
      </c>
      <c r="J266" s="11">
        <v>74966.5648406035</v>
      </c>
      <c r="K266" s="17">
        <v>4774.15141297102</v>
      </c>
    </row>
    <row r="267" spans="1:11">
      <c r="A267" s="1" t="s">
        <v>6</v>
      </c>
      <c r="B267" s="1">
        <v>2053</v>
      </c>
      <c r="C267" s="10">
        <v>2765.6422</v>
      </c>
      <c r="D267" s="11">
        <v>70627.7653189035</v>
      </c>
      <c r="E267" s="18">
        <v>4747.71142427921</v>
      </c>
      <c r="F267" s="11">
        <v>2814.5347</v>
      </c>
      <c r="G267" s="11">
        <v>72367.044497746</v>
      </c>
      <c r="H267" s="17">
        <v>4539.2575084877</v>
      </c>
      <c r="I267" s="11">
        <v>3378.8369</v>
      </c>
      <c r="J267" s="11">
        <v>76404.8843872216</v>
      </c>
      <c r="K267" s="17">
        <v>4774.15141297102</v>
      </c>
    </row>
    <row r="268" spans="1:11">
      <c r="A268" s="1" t="s">
        <v>6</v>
      </c>
      <c r="B268" s="1">
        <v>2054</v>
      </c>
      <c r="C268" s="10">
        <v>2764.4231</v>
      </c>
      <c r="D268" s="11">
        <v>71337.8177240466</v>
      </c>
      <c r="E268" s="18">
        <v>4747.71142427921</v>
      </c>
      <c r="F268" s="11">
        <v>2813.6208</v>
      </c>
      <c r="G268" s="11">
        <v>73255.5380709955</v>
      </c>
      <c r="H268" s="17">
        <v>4539.2575084877</v>
      </c>
      <c r="I268" s="11">
        <v>3396.2601</v>
      </c>
      <c r="J268" s="11">
        <v>77931.453294775</v>
      </c>
      <c r="K268" s="17">
        <v>4774.15141297102</v>
      </c>
    </row>
    <row r="269" spans="1:11">
      <c r="A269" s="1" t="s">
        <v>6</v>
      </c>
      <c r="B269" s="1">
        <v>2055</v>
      </c>
      <c r="C269" s="10">
        <v>2762.5192</v>
      </c>
      <c r="D269" s="11">
        <v>72151.8976095082</v>
      </c>
      <c r="E269" s="18">
        <v>4747.71142427921</v>
      </c>
      <c r="F269" s="11">
        <v>2812.0898</v>
      </c>
      <c r="G269" s="11">
        <v>74150.7999862005</v>
      </c>
      <c r="H269" s="17">
        <v>4539.2575084877</v>
      </c>
      <c r="I269" s="11">
        <v>3413.0755</v>
      </c>
      <c r="J269" s="11">
        <v>79538.1625062919</v>
      </c>
      <c r="K269" s="17">
        <v>4774.15141297102</v>
      </c>
    </row>
    <row r="270" spans="1:11">
      <c r="A270" s="1" t="s">
        <v>6</v>
      </c>
      <c r="B270" s="1">
        <v>2056</v>
      </c>
      <c r="C270" s="10">
        <v>2759.9193</v>
      </c>
      <c r="D270" s="11">
        <v>73103.7278611097</v>
      </c>
      <c r="E270" s="18">
        <v>4747.71142427921</v>
      </c>
      <c r="F270" s="11">
        <v>2809.964</v>
      </c>
      <c r="G270" s="11">
        <v>75051.7066584806</v>
      </c>
      <c r="H270" s="17">
        <v>4539.2575084877</v>
      </c>
      <c r="I270" s="11">
        <v>3429.2933</v>
      </c>
      <c r="J270" s="11">
        <v>81213.4462899197</v>
      </c>
      <c r="K270" s="17">
        <v>4774.15141297102</v>
      </c>
    </row>
    <row r="271" spans="1:11">
      <c r="A271" s="1" t="s">
        <v>6</v>
      </c>
      <c r="B271" s="1">
        <v>2057</v>
      </c>
      <c r="C271" s="10">
        <v>2756.6551</v>
      </c>
      <c r="D271" s="11">
        <v>74159.5541275379</v>
      </c>
      <c r="E271" s="18">
        <v>4747.71142427921</v>
      </c>
      <c r="F271" s="11">
        <v>2807.2546</v>
      </c>
      <c r="G271" s="11">
        <v>75940.4648719398</v>
      </c>
      <c r="H271" s="17">
        <v>4539.2575084877</v>
      </c>
      <c r="I271" s="11">
        <v>3444.9631</v>
      </c>
      <c r="J271" s="11">
        <v>82931.9122142844</v>
      </c>
      <c r="K271" s="17">
        <v>4774.15141297102</v>
      </c>
    </row>
    <row r="272" spans="1:11">
      <c r="A272" s="1" t="s">
        <v>6</v>
      </c>
      <c r="B272" s="1">
        <v>2058</v>
      </c>
      <c r="C272" s="10">
        <v>2752.7691</v>
      </c>
      <c r="D272" s="11">
        <v>75268.7527481964</v>
      </c>
      <c r="E272" s="18">
        <v>4747.71142427921</v>
      </c>
      <c r="F272" s="11">
        <v>2803.9695</v>
      </c>
      <c r="G272" s="11">
        <v>76795.1140029283</v>
      </c>
      <c r="H272" s="17">
        <v>4539.2575084877</v>
      </c>
      <c r="I272" s="11">
        <v>3460.1461</v>
      </c>
      <c r="J272" s="11">
        <v>84664.7111731314</v>
      </c>
      <c r="K272" s="17">
        <v>4774.15141297102</v>
      </c>
    </row>
    <row r="273" spans="1:11">
      <c r="A273" s="1" t="s">
        <v>6</v>
      </c>
      <c r="B273" s="1">
        <v>2059</v>
      </c>
      <c r="C273" s="10">
        <v>2748.3051</v>
      </c>
      <c r="D273" s="11">
        <v>76380.7000624884</v>
      </c>
      <c r="E273" s="18">
        <v>4747.71142427921</v>
      </c>
      <c r="F273" s="11">
        <v>2800.1153</v>
      </c>
      <c r="G273" s="11">
        <v>77593.6934277962</v>
      </c>
      <c r="H273" s="17">
        <v>4539.2575084877</v>
      </c>
      <c r="I273" s="11">
        <v>3474.9068</v>
      </c>
      <c r="J273" s="11">
        <v>86382.9940602061</v>
      </c>
      <c r="K273" s="17">
        <v>4774.15141297102</v>
      </c>
    </row>
    <row r="274" spans="1:11">
      <c r="A274" s="1" t="s">
        <v>6</v>
      </c>
      <c r="B274" s="1">
        <v>2060</v>
      </c>
      <c r="C274" s="10">
        <v>2743.3076</v>
      </c>
      <c r="D274" s="11">
        <v>77444.7724098173</v>
      </c>
      <c r="E274" s="18">
        <v>4747.71142427921</v>
      </c>
      <c r="F274" s="11">
        <v>2795.6976</v>
      </c>
      <c r="G274" s="11">
        <v>78314.2425228939</v>
      </c>
      <c r="H274" s="17">
        <v>4539.2575084877</v>
      </c>
      <c r="I274" s="11">
        <v>3489.3134</v>
      </c>
      <c r="J274" s="11">
        <v>88057.9117692539</v>
      </c>
      <c r="K274" s="17">
        <v>4774.15141297102</v>
      </c>
    </row>
    <row r="275" spans="1:11">
      <c r="A275" s="1" t="s">
        <v>6</v>
      </c>
      <c r="B275" s="1">
        <v>2061</v>
      </c>
      <c r="C275" s="10">
        <v>2737.8088</v>
      </c>
      <c r="D275" s="11">
        <v>78426.2807303455</v>
      </c>
      <c r="E275" s="18">
        <v>4747.71142427921</v>
      </c>
      <c r="F275" s="11">
        <v>2790.727</v>
      </c>
      <c r="G275" s="11">
        <v>78946.1819017923</v>
      </c>
      <c r="H275" s="17">
        <v>4539.2575084877</v>
      </c>
      <c r="I275" s="11">
        <v>3503.4159</v>
      </c>
      <c r="J275" s="11">
        <v>89680.6362402886</v>
      </c>
      <c r="K275" s="17">
        <v>4774.15141297102</v>
      </c>
    </row>
    <row r="276" spans="1:11">
      <c r="A276" s="1" t="s">
        <v>6</v>
      </c>
      <c r="B276" s="1">
        <v>2062</v>
      </c>
      <c r="C276" s="10">
        <v>2731.7871</v>
      </c>
      <c r="D276" s="11">
        <v>79354.2743672721</v>
      </c>
      <c r="E276" s="18">
        <v>4747.71142427921</v>
      </c>
      <c r="F276" s="11">
        <v>2785.238</v>
      </c>
      <c r="G276" s="11">
        <v>79524.4571269465</v>
      </c>
      <c r="H276" s="17">
        <v>4539.2575084877</v>
      </c>
      <c r="I276" s="11">
        <v>3517.1775</v>
      </c>
      <c r="J276" s="11">
        <v>91322.4235983973</v>
      </c>
      <c r="K276" s="17">
        <v>4774.15141297102</v>
      </c>
    </row>
    <row r="277" spans="1:11">
      <c r="A277" s="1" t="s">
        <v>6</v>
      </c>
      <c r="B277" s="1">
        <v>2063</v>
      </c>
      <c r="C277" s="10">
        <v>2725.2045</v>
      </c>
      <c r="D277" s="11">
        <v>80273.7372645551</v>
      </c>
      <c r="E277" s="18">
        <v>4747.71142427921</v>
      </c>
      <c r="F277" s="11">
        <v>2779.27</v>
      </c>
      <c r="G277" s="11">
        <v>80095.3949980321</v>
      </c>
      <c r="H277" s="17">
        <v>4539.2575084877</v>
      </c>
      <c r="I277" s="11">
        <v>3530.5338</v>
      </c>
      <c r="J277" s="11">
        <v>93074.5510149357</v>
      </c>
      <c r="K277" s="17">
        <v>4774.15141297102</v>
      </c>
    </row>
    <row r="278" spans="1:11">
      <c r="A278" s="1" t="s">
        <v>6</v>
      </c>
      <c r="B278" s="1">
        <v>2064</v>
      </c>
      <c r="C278" s="10">
        <v>2718.0197</v>
      </c>
      <c r="D278" s="11">
        <v>81229.6533661524</v>
      </c>
      <c r="E278" s="18">
        <v>4747.71142427921</v>
      </c>
      <c r="F278" s="11">
        <v>2772.8612</v>
      </c>
      <c r="G278" s="11">
        <v>80705.3223147251</v>
      </c>
      <c r="H278" s="17">
        <v>4539.2575084877</v>
      </c>
      <c r="I278" s="11">
        <v>3543.4136</v>
      </c>
      <c r="J278" s="11">
        <v>95028.2956612592</v>
      </c>
      <c r="K278" s="17">
        <v>4774.15141297102</v>
      </c>
    </row>
    <row r="279" spans="1:11">
      <c r="A279" s="1" t="s">
        <v>6</v>
      </c>
      <c r="B279" s="1">
        <v>2065</v>
      </c>
      <c r="C279" s="10">
        <v>2710.1876</v>
      </c>
      <c r="D279" s="11">
        <v>82267.0066160222</v>
      </c>
      <c r="E279" s="18">
        <v>4747.71142427921</v>
      </c>
      <c r="F279" s="11">
        <v>2766.0484</v>
      </c>
      <c r="G279" s="11">
        <v>81400.5658767014</v>
      </c>
      <c r="H279" s="17">
        <v>4539.2575084877</v>
      </c>
      <c r="I279" s="11">
        <v>3555.7374</v>
      </c>
      <c r="J279" s="11">
        <v>97274.9347087235</v>
      </c>
      <c r="K279" s="17">
        <v>4774.15141297102</v>
      </c>
    </row>
    <row r="280" spans="1:11">
      <c r="A280" s="1" t="s">
        <v>6</v>
      </c>
      <c r="B280" s="1">
        <v>2066</v>
      </c>
      <c r="C280" s="10">
        <v>2701.729</v>
      </c>
      <c r="D280" s="11">
        <v>83407.7517736552</v>
      </c>
      <c r="E280" s="18">
        <v>4747.71142427921</v>
      </c>
      <c r="F280" s="11">
        <v>2758.878</v>
      </c>
      <c r="G280" s="11">
        <v>82208.781793635</v>
      </c>
      <c r="H280" s="17">
        <v>4539.2575084877</v>
      </c>
      <c r="I280" s="11">
        <v>3567.4927</v>
      </c>
      <c r="J280" s="11">
        <v>99860.6447640612</v>
      </c>
      <c r="K280" s="17">
        <v>4774.15141297102</v>
      </c>
    </row>
    <row r="281" spans="1:11">
      <c r="A281" s="1" t="s">
        <v>6</v>
      </c>
      <c r="B281" s="1">
        <v>2067</v>
      </c>
      <c r="C281" s="10">
        <v>2692.9397</v>
      </c>
      <c r="D281" s="11">
        <v>84581.7268606741</v>
      </c>
      <c r="E281" s="18">
        <v>4747.71142427921</v>
      </c>
      <c r="F281" s="11">
        <v>2751.4391</v>
      </c>
      <c r="G281" s="11">
        <v>83082.9434151934</v>
      </c>
      <c r="H281" s="17">
        <v>4539.2575084877</v>
      </c>
      <c r="I281" s="11">
        <v>3578.9597</v>
      </c>
      <c r="J281" s="11">
        <v>102651.200175513</v>
      </c>
      <c r="K281" s="17">
        <v>4774.15141297102</v>
      </c>
    </row>
    <row r="282" spans="1:11">
      <c r="A282" s="1" t="s">
        <v>6</v>
      </c>
      <c r="B282" s="1">
        <v>2068</v>
      </c>
      <c r="C282" s="10">
        <v>2684.1863</v>
      </c>
      <c r="D282" s="11">
        <v>85695.7407142342</v>
      </c>
      <c r="E282" s="18">
        <v>4747.71142427921</v>
      </c>
      <c r="F282" s="11">
        <v>2743.8327</v>
      </c>
      <c r="G282" s="11">
        <v>83957.3534010421</v>
      </c>
      <c r="H282" s="17">
        <v>4539.2575084877</v>
      </c>
      <c r="I282" s="11">
        <v>3590.4887</v>
      </c>
      <c r="J282" s="11">
        <v>105467.274726699</v>
      </c>
      <c r="K282" s="17">
        <v>4774.15141297102</v>
      </c>
    </row>
    <row r="283" spans="1:11">
      <c r="A283" s="1" t="s">
        <v>6</v>
      </c>
      <c r="B283" s="1">
        <v>2069</v>
      </c>
      <c r="C283" s="10">
        <v>2675.8376</v>
      </c>
      <c r="D283" s="11">
        <v>86656.6021714909</v>
      </c>
      <c r="E283" s="18">
        <v>4747.71142427921</v>
      </c>
      <c r="F283" s="11">
        <v>2736.1615</v>
      </c>
      <c r="G283" s="11">
        <v>84766.3144108468</v>
      </c>
      <c r="H283" s="17">
        <v>4539.2575084877</v>
      </c>
      <c r="I283" s="11">
        <v>3602.4256</v>
      </c>
      <c r="J283" s="11">
        <v>108129.542201235</v>
      </c>
      <c r="K283" s="17">
        <v>4774.15141297102</v>
      </c>
    </row>
    <row r="284" spans="1:11">
      <c r="A284" s="1" t="s">
        <v>6</v>
      </c>
      <c r="B284" s="1">
        <v>2070</v>
      </c>
      <c r="C284" s="10">
        <v>2668.2637</v>
      </c>
      <c r="D284" s="11">
        <v>87371.1200695995</v>
      </c>
      <c r="E284" s="18">
        <v>4747.71142427921</v>
      </c>
      <c r="F284" s="11">
        <v>2728.5302</v>
      </c>
      <c r="G284" s="11">
        <v>85444.1291042733</v>
      </c>
      <c r="H284" s="17">
        <v>4539.2575084877</v>
      </c>
      <c r="I284" s="11">
        <v>3615.1105</v>
      </c>
      <c r="J284" s="11">
        <v>110458.676382741</v>
      </c>
      <c r="K284" s="17">
        <v>4774.15141297102</v>
      </c>
    </row>
    <row r="285" spans="1:11">
      <c r="A285" s="1" t="s">
        <v>6</v>
      </c>
      <c r="B285" s="1">
        <v>2071</v>
      </c>
      <c r="C285" s="10">
        <v>2661.7028</v>
      </c>
      <c r="D285" s="11">
        <v>87782.6870484926</v>
      </c>
      <c r="E285" s="18">
        <v>4747.71142427921</v>
      </c>
      <c r="F285" s="11">
        <v>2721.0065</v>
      </c>
      <c r="G285" s="11">
        <v>85946.0677995653</v>
      </c>
      <c r="H285" s="17">
        <v>4539.2575084877</v>
      </c>
      <c r="I285" s="11">
        <v>3628.7503</v>
      </c>
      <c r="J285" s="11">
        <v>112339.901758909</v>
      </c>
      <c r="K285" s="17">
        <v>4774.15141297102</v>
      </c>
    </row>
    <row r="286" spans="1:11">
      <c r="A286" s="1" t="s">
        <v>6</v>
      </c>
      <c r="B286" s="1">
        <v>2072</v>
      </c>
      <c r="C286" s="10">
        <v>2655.8567</v>
      </c>
      <c r="D286" s="11">
        <v>87981.0309592113</v>
      </c>
      <c r="E286" s="18">
        <v>4747.71142427921</v>
      </c>
      <c r="F286" s="11">
        <v>2713.5032</v>
      </c>
      <c r="G286" s="11">
        <v>86311.2714492805</v>
      </c>
      <c r="H286" s="17">
        <v>4539.2575084877</v>
      </c>
      <c r="I286" s="11">
        <v>3643.037</v>
      </c>
      <c r="J286" s="11">
        <v>113916.645633732</v>
      </c>
      <c r="K286" s="17">
        <v>4774.15141297102</v>
      </c>
    </row>
    <row r="287" spans="1:11">
      <c r="A287" s="1" t="s">
        <v>6</v>
      </c>
      <c r="B287" s="1">
        <v>2073</v>
      </c>
      <c r="C287" s="10">
        <v>2650.2898</v>
      </c>
      <c r="D287" s="11">
        <v>88092.4634555738</v>
      </c>
      <c r="E287" s="18">
        <v>4747.71142427921</v>
      </c>
      <c r="F287" s="11">
        <v>2705.8931</v>
      </c>
      <c r="G287" s="11">
        <v>86599.8486645547</v>
      </c>
      <c r="H287" s="17">
        <v>4539.2575084877</v>
      </c>
      <c r="I287" s="11">
        <v>3657.5329</v>
      </c>
      <c r="J287" s="11">
        <v>115396.886015276</v>
      </c>
      <c r="K287" s="17">
        <v>4774.15141297102</v>
      </c>
    </row>
    <row r="288" spans="1:11">
      <c r="A288" s="1" t="s">
        <v>6</v>
      </c>
      <c r="B288" s="1">
        <v>2074</v>
      </c>
      <c r="C288" s="10">
        <v>2644.5623</v>
      </c>
      <c r="D288" s="11">
        <v>88243.2961913984</v>
      </c>
      <c r="E288" s="18">
        <v>4747.71142427921</v>
      </c>
      <c r="F288" s="11">
        <v>2698.0471</v>
      </c>
      <c r="G288" s="11">
        <v>86871.9080565235</v>
      </c>
      <c r="H288" s="17">
        <v>4539.2575084877</v>
      </c>
      <c r="I288" s="11">
        <v>3671.7995</v>
      </c>
      <c r="J288" s="11">
        <v>116988.600911608</v>
      </c>
      <c r="K288" s="17">
        <v>4774.15141297102</v>
      </c>
    </row>
    <row r="289" spans="1:11">
      <c r="A289" s="1" t="s">
        <v>6</v>
      </c>
      <c r="B289" s="1">
        <v>2075</v>
      </c>
      <c r="C289" s="10">
        <v>2638.2312</v>
      </c>
      <c r="D289" s="11">
        <v>88559.8408205034</v>
      </c>
      <c r="E289" s="18">
        <v>4747.71142427921</v>
      </c>
      <c r="F289" s="11">
        <v>2689.8348</v>
      </c>
      <c r="G289" s="11">
        <v>87187.5582363228</v>
      </c>
      <c r="H289" s="17">
        <v>4539.2575084877</v>
      </c>
      <c r="I289" s="11">
        <v>3685.3976</v>
      </c>
      <c r="J289" s="11">
        <v>118899.768330795</v>
      </c>
      <c r="K289" s="17">
        <v>4774.15141297102</v>
      </c>
    </row>
    <row r="290" spans="1:11">
      <c r="A290" s="1" t="s">
        <v>6</v>
      </c>
      <c r="B290" s="1">
        <v>2076</v>
      </c>
      <c r="C290" s="10">
        <v>2630.8041</v>
      </c>
      <c r="D290" s="11">
        <v>89130.9432336607</v>
      </c>
      <c r="E290" s="18">
        <v>4747.71142427921</v>
      </c>
      <c r="F290" s="11">
        <v>2681.1145</v>
      </c>
      <c r="G290" s="11">
        <v>87591.2475650577</v>
      </c>
      <c r="H290" s="17">
        <v>4539.2575084877</v>
      </c>
      <c r="I290" s="11">
        <v>3697.8191</v>
      </c>
      <c r="J290" s="11">
        <v>121275.598170491</v>
      </c>
      <c r="K290" s="17">
        <v>4774.15141297102</v>
      </c>
    </row>
    <row r="291" spans="1:11">
      <c r="A291" s="1" t="s">
        <v>6</v>
      </c>
      <c r="B291" s="1">
        <v>2077</v>
      </c>
      <c r="C291" s="10">
        <v>2621.6023</v>
      </c>
      <c r="D291" s="11">
        <v>89895.586269458</v>
      </c>
      <c r="E291" s="18">
        <v>4747.71142427921</v>
      </c>
      <c r="F291" s="11">
        <v>2671.7037</v>
      </c>
      <c r="G291" s="11">
        <v>88064.7834037099</v>
      </c>
      <c r="H291" s="17">
        <v>4539.2575084877</v>
      </c>
      <c r="I291" s="11">
        <v>3708.285</v>
      </c>
      <c r="J291" s="11">
        <v>124010.227886701</v>
      </c>
      <c r="K291" s="17">
        <v>4774.15141297102</v>
      </c>
    </row>
    <row r="292" spans="1:11">
      <c r="A292" s="1" t="s">
        <v>6</v>
      </c>
      <c r="B292" s="1">
        <v>2078</v>
      </c>
      <c r="C292" s="10">
        <v>2609.9008</v>
      </c>
      <c r="D292" s="11">
        <v>90755.2870034365</v>
      </c>
      <c r="E292" s="18">
        <v>4747.71142427921</v>
      </c>
      <c r="F292" s="11">
        <v>2661.4073</v>
      </c>
      <c r="G292" s="11">
        <v>88574.3128632306</v>
      </c>
      <c r="H292" s="17">
        <v>4539.2575084877</v>
      </c>
      <c r="I292" s="11">
        <v>3715.9584</v>
      </c>
      <c r="J292" s="11">
        <v>126935.026825015</v>
      </c>
      <c r="K292" s="17">
        <v>4774.15141297102</v>
      </c>
    </row>
    <row r="293" spans="1:11">
      <c r="A293" s="1" t="s">
        <v>6</v>
      </c>
      <c r="B293" s="1">
        <v>2079</v>
      </c>
      <c r="C293" s="10">
        <v>2594.9721</v>
      </c>
      <c r="D293" s="11">
        <v>91611.5625111374</v>
      </c>
      <c r="E293" s="18">
        <v>4747.71142427921</v>
      </c>
      <c r="F293" s="11">
        <v>2650.0268</v>
      </c>
      <c r="G293" s="11">
        <v>89085.9830545708</v>
      </c>
      <c r="H293" s="17">
        <v>4539.2575084877</v>
      </c>
      <c r="I293" s="11">
        <v>3720.0132</v>
      </c>
      <c r="J293" s="11">
        <v>129881.364331027</v>
      </c>
      <c r="K293" s="17">
        <v>4774.15141297102</v>
      </c>
    </row>
    <row r="294" spans="1:11">
      <c r="A294" s="1" t="s">
        <v>6</v>
      </c>
      <c r="B294" s="1">
        <v>2080</v>
      </c>
      <c r="C294" s="10">
        <v>2576.0842</v>
      </c>
      <c r="D294" s="11">
        <v>92365.929868102</v>
      </c>
      <c r="E294" s="18">
        <v>4747.71142427921</v>
      </c>
      <c r="F294" s="11">
        <v>2637.3592</v>
      </c>
      <c r="G294" s="11">
        <v>89565.9410886817</v>
      </c>
      <c r="H294" s="17">
        <v>4539.2575084877</v>
      </c>
      <c r="I294" s="11">
        <v>3719.6334</v>
      </c>
      <c r="J294" s="11">
        <v>132680.609750326</v>
      </c>
      <c r="K294" s="17">
        <v>4774.15141297102</v>
      </c>
    </row>
    <row r="295" spans="1:11">
      <c r="A295" s="1" t="s">
        <v>6</v>
      </c>
      <c r="B295" s="1">
        <v>2081</v>
      </c>
      <c r="C295" s="10">
        <v>2552.7961</v>
      </c>
      <c r="D295" s="11">
        <v>92948.4667437259</v>
      </c>
      <c r="E295" s="18">
        <v>4747.71142427921</v>
      </c>
      <c r="F295" s="11">
        <v>2623.3159</v>
      </c>
      <c r="G295" s="11">
        <v>89990.0343319783</v>
      </c>
      <c r="H295" s="17">
        <v>4539.2575084877</v>
      </c>
      <c r="I295" s="11">
        <v>3714.3511</v>
      </c>
      <c r="J295" s="11">
        <v>135211.557933787</v>
      </c>
      <c r="K295" s="17">
        <v>4774.15141297102</v>
      </c>
    </row>
    <row r="296" spans="1:11">
      <c r="A296" s="1" t="s">
        <v>6</v>
      </c>
      <c r="B296" s="1">
        <v>2082</v>
      </c>
      <c r="C296" s="10">
        <v>2525.8585</v>
      </c>
      <c r="D296" s="11">
        <v>93403.4931828216</v>
      </c>
      <c r="E296" s="18">
        <v>4747.71142427921</v>
      </c>
      <c r="F296" s="11">
        <v>2608.2881</v>
      </c>
      <c r="G296" s="11">
        <v>90372.9111727319</v>
      </c>
      <c r="H296" s="17">
        <v>4539.2575084877</v>
      </c>
      <c r="I296" s="11">
        <v>3705.0618</v>
      </c>
      <c r="J296" s="11">
        <v>137542.705753414</v>
      </c>
      <c r="K296" s="17">
        <v>4774.15141297102</v>
      </c>
    </row>
    <row r="297" spans="1:11">
      <c r="A297" s="1" t="s">
        <v>6</v>
      </c>
      <c r="B297" s="1">
        <v>2083</v>
      </c>
      <c r="C297" s="10">
        <v>2496.325</v>
      </c>
      <c r="D297" s="11">
        <v>93803.889824056</v>
      </c>
      <c r="E297" s="18">
        <v>4747.71142427921</v>
      </c>
      <c r="F297" s="11">
        <v>2592.795</v>
      </c>
      <c r="G297" s="11">
        <v>90738.9202546778</v>
      </c>
      <c r="H297" s="17">
        <v>4539.2575084877</v>
      </c>
      <c r="I297" s="11">
        <v>3692.9955</v>
      </c>
      <c r="J297" s="11">
        <v>139789.975586492</v>
      </c>
      <c r="K297" s="17">
        <v>4774.15141297102</v>
      </c>
    </row>
    <row r="298" spans="1:11">
      <c r="A298" s="1" t="s">
        <v>6</v>
      </c>
      <c r="B298" s="1">
        <v>2084</v>
      </c>
      <c r="C298" s="10">
        <v>2465.2577</v>
      </c>
      <c r="D298" s="11">
        <v>94222.5373060959</v>
      </c>
      <c r="E298" s="18">
        <v>4747.71142427921</v>
      </c>
      <c r="F298" s="11">
        <v>2577.3666</v>
      </c>
      <c r="G298" s="11">
        <v>91112.4102215514</v>
      </c>
      <c r="H298" s="17">
        <v>4539.2575084877</v>
      </c>
      <c r="I298" s="11">
        <v>3679.3776</v>
      </c>
      <c r="J298" s="11">
        <v>142069.289810306</v>
      </c>
      <c r="K298" s="17">
        <v>4774.15141297102</v>
      </c>
    </row>
    <row r="299" spans="1:11">
      <c r="A299" s="1" t="s">
        <v>6</v>
      </c>
      <c r="B299" s="1">
        <v>2085</v>
      </c>
      <c r="C299" s="10">
        <v>2433.7306</v>
      </c>
      <c r="D299" s="11">
        <v>94732.3162676081</v>
      </c>
      <c r="E299" s="18">
        <v>4747.71142427921</v>
      </c>
      <c r="F299" s="11">
        <v>2562.545</v>
      </c>
      <c r="G299" s="11">
        <v>91517.729717088</v>
      </c>
      <c r="H299" s="17">
        <v>4539.2575084877</v>
      </c>
      <c r="I299" s="11">
        <v>3665.4295</v>
      </c>
      <c r="J299" s="11">
        <v>144496.570802142</v>
      </c>
      <c r="K299" s="17">
        <v>4774.15141297102</v>
      </c>
    </row>
    <row r="300" spans="1:11">
      <c r="A300" s="1" t="s">
        <v>6</v>
      </c>
      <c r="B300" s="1">
        <v>2086</v>
      </c>
      <c r="C300" s="10">
        <v>2402.7631</v>
      </c>
      <c r="D300" s="11">
        <v>95381.8629248439</v>
      </c>
      <c r="E300" s="18">
        <v>4747.71142427921</v>
      </c>
      <c r="F300" s="11">
        <v>2548.8278</v>
      </c>
      <c r="G300" s="11">
        <v>91976.8468659034</v>
      </c>
      <c r="H300" s="17">
        <v>4539.2575084877</v>
      </c>
      <c r="I300" s="11">
        <v>3652.2497</v>
      </c>
      <c r="J300" s="11">
        <v>147147.886210493</v>
      </c>
      <c r="K300" s="17">
        <v>4774.15141297102</v>
      </c>
    </row>
    <row r="301" spans="1:11">
      <c r="A301" s="1" t="s">
        <v>6</v>
      </c>
      <c r="B301" s="1">
        <v>2087</v>
      </c>
      <c r="C301" s="10">
        <v>2373.113</v>
      </c>
      <c r="D301" s="11">
        <v>96122.8358043925</v>
      </c>
      <c r="E301" s="18">
        <v>4747.71142427921</v>
      </c>
      <c r="F301" s="11">
        <v>2536.4949</v>
      </c>
      <c r="G301" s="11">
        <v>92502.2077161363</v>
      </c>
      <c r="H301" s="17">
        <v>4539.2575084877</v>
      </c>
      <c r="I301" s="11">
        <v>3640.4564</v>
      </c>
      <c r="J301" s="11">
        <v>149939.884768684</v>
      </c>
      <c r="K301" s="17">
        <v>4774.15141297102</v>
      </c>
    </row>
    <row r="302" spans="1:11">
      <c r="A302" s="1" t="s">
        <v>6</v>
      </c>
      <c r="B302" s="1">
        <v>2088</v>
      </c>
      <c r="C302" s="10">
        <v>2345.4823</v>
      </c>
      <c r="D302" s="11">
        <v>96882.6490104276</v>
      </c>
      <c r="E302" s="18">
        <v>4747.71142427921</v>
      </c>
      <c r="F302" s="11">
        <v>2525.7742</v>
      </c>
      <c r="G302" s="11">
        <v>93103.8777968058</v>
      </c>
      <c r="H302" s="17">
        <v>4539.2575084877</v>
      </c>
      <c r="I302" s="11">
        <v>3630.5476</v>
      </c>
      <c r="J302" s="11">
        <v>152749.360481246</v>
      </c>
      <c r="K302" s="17">
        <v>4774.15141297102</v>
      </c>
    </row>
    <row r="303" spans="1:11">
      <c r="A303" s="1" t="s">
        <v>6</v>
      </c>
      <c r="B303" s="1">
        <v>2089</v>
      </c>
      <c r="C303" s="10">
        <v>2320.5858</v>
      </c>
      <c r="D303" s="11">
        <v>97588.7166471228</v>
      </c>
      <c r="E303" s="18">
        <v>4747.71142427921</v>
      </c>
      <c r="F303" s="11">
        <v>2516.8976</v>
      </c>
      <c r="G303" s="11">
        <v>93791.9226369312</v>
      </c>
      <c r="H303" s="17">
        <v>4539.2575084877</v>
      </c>
      <c r="I303" s="11">
        <v>3623.0192</v>
      </c>
      <c r="J303" s="11">
        <v>155453.107352713</v>
      </c>
      <c r="K303" s="17">
        <v>4774.15141297102</v>
      </c>
    </row>
    <row r="304" spans="1:11">
      <c r="A304" s="1" t="s">
        <v>6</v>
      </c>
      <c r="B304" s="1">
        <v>2090</v>
      </c>
      <c r="C304" s="10">
        <v>2299.1498</v>
      </c>
      <c r="D304" s="11">
        <v>98168.4528186517</v>
      </c>
      <c r="E304" s="18">
        <v>4747.71142427921</v>
      </c>
      <c r="F304" s="11">
        <v>2510.1003</v>
      </c>
      <c r="G304" s="11">
        <v>94576.4077655315</v>
      </c>
      <c r="H304" s="17">
        <v>4539.2575084877</v>
      </c>
      <c r="I304" s="11">
        <v>3618.3638</v>
      </c>
      <c r="J304" s="11">
        <v>157927.919387617</v>
      </c>
      <c r="K304" s="17">
        <v>4774.15141297102</v>
      </c>
    </row>
    <row r="305" spans="1:11">
      <c r="A305" s="1" t="s">
        <v>6</v>
      </c>
      <c r="B305" s="1">
        <v>2091</v>
      </c>
      <c r="C305" s="10">
        <v>2281.709</v>
      </c>
      <c r="D305" s="11">
        <v>98565.9443384816</v>
      </c>
      <c r="E305" s="18">
        <v>4747.71142427921</v>
      </c>
      <c r="F305" s="11">
        <v>2505.5359</v>
      </c>
      <c r="G305" s="11">
        <v>95462.2474372925</v>
      </c>
      <c r="H305" s="17">
        <v>4539.2575084877</v>
      </c>
      <c r="I305" s="11">
        <v>3616.9232</v>
      </c>
      <c r="J305" s="11">
        <v>160090.593171608</v>
      </c>
      <c r="K305" s="17">
        <v>4774.15141297102</v>
      </c>
    </row>
    <row r="306" spans="1:11">
      <c r="A306" s="1" t="s">
        <v>6</v>
      </c>
      <c r="B306" s="1">
        <v>2092</v>
      </c>
      <c r="C306" s="10">
        <v>2267.9944</v>
      </c>
      <c r="D306" s="11">
        <v>98791.9688572536</v>
      </c>
      <c r="E306" s="18">
        <v>4747.71142427921</v>
      </c>
      <c r="F306" s="11">
        <v>2503.0204</v>
      </c>
      <c r="G306" s="11">
        <v>96433.7508095664</v>
      </c>
      <c r="H306" s="17">
        <v>4539.2575084877</v>
      </c>
      <c r="I306" s="11">
        <v>3618.45</v>
      </c>
      <c r="J306" s="11">
        <v>162017.935614815</v>
      </c>
      <c r="K306" s="17">
        <v>4774.15141297102</v>
      </c>
    </row>
    <row r="307" spans="1:11">
      <c r="A307" s="1" t="s">
        <v>6</v>
      </c>
      <c r="B307" s="1">
        <v>2093</v>
      </c>
      <c r="C307" s="10">
        <v>2257.525</v>
      </c>
      <c r="D307" s="11">
        <v>98873.9767349025</v>
      </c>
      <c r="E307" s="18">
        <v>4747.71142427921</v>
      </c>
      <c r="F307" s="11">
        <v>2502.2799</v>
      </c>
      <c r="G307" s="11">
        <v>97470.0757653715</v>
      </c>
      <c r="H307" s="17">
        <v>4539.2575084877</v>
      </c>
      <c r="I307" s="11">
        <v>3622.5438</v>
      </c>
      <c r="J307" s="11">
        <v>163826.756208484</v>
      </c>
      <c r="K307" s="17">
        <v>4774.15141297102</v>
      </c>
    </row>
    <row r="308" spans="1:11">
      <c r="A308" s="1" t="s">
        <v>6</v>
      </c>
      <c r="B308" s="1">
        <v>2094</v>
      </c>
      <c r="C308" s="10">
        <v>2249.808</v>
      </c>
      <c r="D308" s="11">
        <v>98839.4183313629</v>
      </c>
      <c r="E308" s="18">
        <v>4747.71142427921</v>
      </c>
      <c r="F308" s="11">
        <v>2503.0346</v>
      </c>
      <c r="G308" s="11">
        <v>98550.3801877266</v>
      </c>
      <c r="H308" s="17">
        <v>4539.2575084877</v>
      </c>
      <c r="I308" s="11">
        <v>3628.7978</v>
      </c>
      <c r="J308" s="11">
        <v>165633.864443861</v>
      </c>
      <c r="K308" s="17">
        <v>4774.15141297102</v>
      </c>
    </row>
    <row r="309" spans="1:11">
      <c r="A309" s="1" t="s">
        <v>6</v>
      </c>
      <c r="B309" s="1">
        <v>2095</v>
      </c>
      <c r="C309" s="10">
        <v>2244.34</v>
      </c>
      <c r="D309" s="11">
        <v>98715.7440065697</v>
      </c>
      <c r="E309" s="18">
        <v>4747.71142427921</v>
      </c>
      <c r="F309" s="11">
        <v>2504.9996</v>
      </c>
      <c r="G309" s="11">
        <v>99653.8219596503</v>
      </c>
      <c r="H309" s="17">
        <v>4539.2575084877</v>
      </c>
      <c r="I309" s="11">
        <v>3636.7998</v>
      </c>
      <c r="J309" s="11">
        <v>167556.069812193</v>
      </c>
      <c r="K309" s="17">
        <v>4774.15141297102</v>
      </c>
    </row>
    <row r="310" spans="1:11">
      <c r="A310" s="1" t="s">
        <v>6</v>
      </c>
      <c r="B310" s="1">
        <v>2096</v>
      </c>
      <c r="C310" s="10">
        <v>2240.608</v>
      </c>
      <c r="D310" s="11">
        <v>98530.4041204574</v>
      </c>
      <c r="E310" s="18">
        <v>4747.71142427921</v>
      </c>
      <c r="F310" s="11">
        <v>2507.8846</v>
      </c>
      <c r="G310" s="11">
        <v>100759.558964161</v>
      </c>
      <c r="H310" s="17">
        <v>4539.2575084877</v>
      </c>
      <c r="I310" s="11">
        <v>3646.1326</v>
      </c>
      <c r="J310" s="11">
        <v>169710.181804727</v>
      </c>
      <c r="K310" s="17">
        <v>4774.15141297102</v>
      </c>
    </row>
    <row r="311" spans="1:11">
      <c r="A311" s="1" t="s">
        <v>6</v>
      </c>
      <c r="B311" s="1">
        <v>2097</v>
      </c>
      <c r="C311" s="10">
        <v>2238.0904</v>
      </c>
      <c r="D311" s="11">
        <v>98310.8490329609</v>
      </c>
      <c r="E311" s="18">
        <v>4747.71142427921</v>
      </c>
      <c r="F311" s="11">
        <v>2511.3951</v>
      </c>
      <c r="G311" s="11">
        <v>101846.749084277</v>
      </c>
      <c r="H311" s="17">
        <v>4539.2575084877</v>
      </c>
      <c r="I311" s="11">
        <v>3656.3759</v>
      </c>
      <c r="J311" s="11">
        <v>172213.009912709</v>
      </c>
      <c r="K311" s="17">
        <v>4774.15141297102</v>
      </c>
    </row>
    <row r="312" spans="1:11">
      <c r="A312" s="1" t="s">
        <v>6</v>
      </c>
      <c r="B312" s="1">
        <v>2098</v>
      </c>
      <c r="C312" s="10">
        <v>2236.2587</v>
      </c>
      <c r="D312" s="11">
        <v>98084.5291040149</v>
      </c>
      <c r="E312" s="18">
        <v>4747.71142427921</v>
      </c>
      <c r="F312" s="11">
        <v>2515.2326</v>
      </c>
      <c r="G312" s="11">
        <v>102894.550203018</v>
      </c>
      <c r="H312" s="17">
        <v>4539.2575084877</v>
      </c>
      <c r="I312" s="11">
        <v>3667.1067</v>
      </c>
      <c r="J312" s="11">
        <v>175181.363627385</v>
      </c>
      <c r="K312" s="17">
        <v>4774.15141297102</v>
      </c>
    </row>
    <row r="313" spans="1:11">
      <c r="A313" s="1" t="s">
        <v>6</v>
      </c>
      <c r="B313" s="1">
        <v>2099</v>
      </c>
      <c r="C313" s="10">
        <v>2234.5785</v>
      </c>
      <c r="D313" s="11">
        <v>97878.894693554</v>
      </c>
      <c r="E313" s="18">
        <v>4747.71142427921</v>
      </c>
      <c r="F313" s="11">
        <v>2519.0948</v>
      </c>
      <c r="G313" s="11">
        <v>103882.120203402</v>
      </c>
      <c r="H313" s="17">
        <v>4539.2575084877</v>
      </c>
      <c r="I313" s="11">
        <v>3677.9005</v>
      </c>
      <c r="J313" s="11">
        <v>178732.052440003</v>
      </c>
      <c r="K313" s="17">
        <v>4774.15141297102</v>
      </c>
    </row>
    <row r="314" spans="1:11">
      <c r="A314" s="1" t="s">
        <v>6</v>
      </c>
      <c r="B314" s="1">
        <v>2100</v>
      </c>
      <c r="C314" s="10">
        <v>2232.5111</v>
      </c>
      <c r="D314" s="11">
        <v>97721.396161513</v>
      </c>
      <c r="E314" s="18">
        <v>4747.71142427921</v>
      </c>
      <c r="F314" s="11">
        <v>2522.6765</v>
      </c>
      <c r="G314" s="11">
        <v>104788.616968447</v>
      </c>
      <c r="H314" s="17">
        <v>4539.2575084877</v>
      </c>
      <c r="I314" s="11">
        <v>3688.3322</v>
      </c>
      <c r="J314" s="11">
        <v>182981.885841808</v>
      </c>
      <c r="K314" s="17">
        <v>4774.15141297102</v>
      </c>
    </row>
    <row r="315" spans="1:11">
      <c r="A315" s="1" t="s">
        <v>7</v>
      </c>
      <c r="B315" s="1">
        <v>2023</v>
      </c>
      <c r="C315" s="10">
        <v>8129.04</v>
      </c>
      <c r="D315" s="11">
        <v>145758.469810119</v>
      </c>
      <c r="E315" s="16">
        <v>29799.9213350749</v>
      </c>
      <c r="F315" s="11">
        <v>8250.9239</v>
      </c>
      <c r="G315" s="11">
        <v>140842.875617305</v>
      </c>
      <c r="H315" s="17">
        <v>28916.26</v>
      </c>
      <c r="I315" s="11">
        <v>8169.7978</v>
      </c>
      <c r="J315" s="11">
        <v>147659.817380825</v>
      </c>
      <c r="K315" s="17">
        <v>29843.0711344218</v>
      </c>
    </row>
    <row r="316" spans="1:11">
      <c r="A316" s="1" t="s">
        <v>7</v>
      </c>
      <c r="B316" s="1">
        <v>2024</v>
      </c>
      <c r="C316" s="10">
        <v>8126.3494</v>
      </c>
      <c r="D316" s="11">
        <v>152486.094402974</v>
      </c>
      <c r="E316" s="3">
        <f>(E315+E317)/2</f>
        <v>31073.152401861</v>
      </c>
      <c r="F316" s="11">
        <v>8257.4368</v>
      </c>
      <c r="G316" s="11">
        <v>148492.507508961</v>
      </c>
      <c r="H316" s="4">
        <f>(H315+H317)/2</f>
        <v>29920.06</v>
      </c>
      <c r="I316" s="11">
        <v>8176.0604</v>
      </c>
      <c r="J316" s="11">
        <v>154925.719160769</v>
      </c>
      <c r="K316" s="4">
        <f>(K315+K317)/2</f>
        <v>31177.9260273433</v>
      </c>
    </row>
    <row r="317" spans="1:11">
      <c r="A317" s="1" t="s">
        <v>7</v>
      </c>
      <c r="B317" s="1">
        <v>2025</v>
      </c>
      <c r="C317" s="10">
        <v>8121.7908</v>
      </c>
      <c r="D317" s="11">
        <v>158328.651951757</v>
      </c>
      <c r="E317" s="16">
        <v>32346.383468647</v>
      </c>
      <c r="F317" s="11">
        <v>8258.2106</v>
      </c>
      <c r="G317" s="11">
        <v>155187.42135982</v>
      </c>
      <c r="H317" s="17">
        <v>30923.86</v>
      </c>
      <c r="I317" s="11">
        <v>8181.5561</v>
      </c>
      <c r="J317" s="11">
        <v>161118.966522663</v>
      </c>
      <c r="K317" s="17">
        <v>32512.7809202647</v>
      </c>
    </row>
    <row r="318" spans="1:11">
      <c r="A318" s="1" t="s">
        <v>7</v>
      </c>
      <c r="B318" s="1">
        <v>2026</v>
      </c>
      <c r="C318" s="10">
        <v>8115.9091</v>
      </c>
      <c r="D318" s="11">
        <v>163344.349496417</v>
      </c>
      <c r="E318" s="3">
        <f t="shared" ref="E318:E321" si="58">E317*(1+$L$317)</f>
        <v>32346.383468647</v>
      </c>
      <c r="F318" s="11">
        <v>8253.3598</v>
      </c>
      <c r="G318" s="11">
        <v>160861.073062539</v>
      </c>
      <c r="H318" s="4">
        <f t="shared" ref="H318:H321" si="59">H317*(1+M$317)</f>
        <v>30923.86</v>
      </c>
      <c r="I318" s="11">
        <v>8186.858</v>
      </c>
      <c r="J318" s="11">
        <v>166228.864440689</v>
      </c>
      <c r="K318" s="4">
        <f t="shared" ref="K318:K321" si="60">K317*(1+N$317)</f>
        <v>32512.7809202647</v>
      </c>
    </row>
    <row r="319" spans="1:11">
      <c r="A319" s="1" t="s">
        <v>7</v>
      </c>
      <c r="B319" s="1">
        <v>2027</v>
      </c>
      <c r="C319" s="10">
        <v>8108.9592</v>
      </c>
      <c r="D319" s="11">
        <v>167650.161909965</v>
      </c>
      <c r="E319" s="3">
        <f t="shared" si="58"/>
        <v>32346.383468647</v>
      </c>
      <c r="F319" s="11">
        <v>8243.8572</v>
      </c>
      <c r="G319" s="11">
        <v>165655.595016615</v>
      </c>
      <c r="H319" s="4">
        <f t="shared" si="59"/>
        <v>30923.86</v>
      </c>
      <c r="I319" s="11">
        <v>8191.9953</v>
      </c>
      <c r="J319" s="11">
        <v>170485.743024957</v>
      </c>
      <c r="K319" s="4">
        <f t="shared" si="60"/>
        <v>32512.7809202647</v>
      </c>
    </row>
    <row r="320" spans="1:11">
      <c r="A320" s="1" t="s">
        <v>7</v>
      </c>
      <c r="B320" s="1">
        <v>2028</v>
      </c>
      <c r="C320" s="10">
        <v>8101.1242</v>
      </c>
      <c r="D320" s="11">
        <v>171377.756023679</v>
      </c>
      <c r="E320" s="3">
        <f t="shared" si="58"/>
        <v>32346.383468647</v>
      </c>
      <c r="F320" s="11">
        <v>8230.8896</v>
      </c>
      <c r="G320" s="11">
        <v>169765.288748254</v>
      </c>
      <c r="H320" s="4">
        <f t="shared" si="59"/>
        <v>30923.86</v>
      </c>
      <c r="I320" s="11">
        <v>8196.8618</v>
      </c>
      <c r="J320" s="11">
        <v>174180.188669557</v>
      </c>
      <c r="K320" s="4">
        <f t="shared" si="60"/>
        <v>32512.7809202647</v>
      </c>
    </row>
    <row r="321" spans="1:11">
      <c r="A321" s="1" t="s">
        <v>7</v>
      </c>
      <c r="B321" s="1">
        <v>2029</v>
      </c>
      <c r="C321" s="10">
        <v>8092.5884</v>
      </c>
      <c r="D321" s="11">
        <v>174658.798668838</v>
      </c>
      <c r="E321" s="3">
        <f t="shared" si="58"/>
        <v>32346.383468647</v>
      </c>
      <c r="F321" s="11">
        <v>8215.6431</v>
      </c>
      <c r="G321" s="11">
        <v>173384.455783662</v>
      </c>
      <c r="H321" s="4">
        <f t="shared" si="59"/>
        <v>30923.86</v>
      </c>
      <c r="I321" s="11">
        <v>8201.352</v>
      </c>
      <c r="J321" s="11">
        <v>177602.787768582</v>
      </c>
      <c r="K321" s="4">
        <f t="shared" si="60"/>
        <v>32512.7809202647</v>
      </c>
    </row>
    <row r="322" spans="1:11">
      <c r="A322" s="1" t="s">
        <v>7</v>
      </c>
      <c r="B322" s="1">
        <v>2030</v>
      </c>
      <c r="C322" s="10">
        <v>8083.537</v>
      </c>
      <c r="D322" s="11">
        <v>177624.956676721</v>
      </c>
      <c r="E322" s="18">
        <v>34887.683468647</v>
      </c>
      <c r="F322" s="11">
        <v>8199.3029</v>
      </c>
      <c r="G322" s="11">
        <v>176707.397649047</v>
      </c>
      <c r="H322" s="17">
        <v>32905.56</v>
      </c>
      <c r="I322" s="11">
        <v>8205.3605</v>
      </c>
      <c r="J322" s="11">
        <v>181044.126716123</v>
      </c>
      <c r="K322" s="17">
        <v>35176.6809202647</v>
      </c>
    </row>
    <row r="323" spans="1:11">
      <c r="A323" s="1" t="s">
        <v>7</v>
      </c>
      <c r="B323" s="1">
        <v>2031</v>
      </c>
      <c r="C323" s="10">
        <v>8074.1015</v>
      </c>
      <c r="D323" s="11">
        <v>180396.91627254</v>
      </c>
      <c r="E323" s="3">
        <f t="shared" ref="E323:E326" si="61">E322*(1+$L$322)</f>
        <v>34887.683468647</v>
      </c>
      <c r="F323" s="11">
        <v>8182.8341</v>
      </c>
      <c r="G323" s="11">
        <v>179900.506356816</v>
      </c>
      <c r="H323" s="4">
        <f t="shared" ref="H323:H326" si="62">H322*(1+M$322)</f>
        <v>32905.56</v>
      </c>
      <c r="I323" s="11">
        <v>8208.788</v>
      </c>
      <c r="J323" s="11">
        <v>184730.770059028</v>
      </c>
      <c r="K323" s="4">
        <f t="shared" ref="K323:K326" si="63">K322*(1+N$322)</f>
        <v>35176.6809202647</v>
      </c>
    </row>
    <row r="324" spans="1:11">
      <c r="A324" s="1" t="s">
        <v>7</v>
      </c>
      <c r="B324" s="1">
        <v>2032</v>
      </c>
      <c r="C324" s="10">
        <v>8064.1969</v>
      </c>
      <c r="D324" s="11">
        <v>183051.441257245</v>
      </c>
      <c r="E324" s="3">
        <f t="shared" si="61"/>
        <v>34887.683468647</v>
      </c>
      <c r="F324" s="11">
        <v>8166.321</v>
      </c>
      <c r="G324" s="11">
        <v>183018.535864194</v>
      </c>
      <c r="H324" s="4">
        <f t="shared" si="62"/>
        <v>32905.56</v>
      </c>
      <c r="I324" s="11">
        <v>8211.5617</v>
      </c>
      <c r="J324" s="11">
        <v>188633.194955177</v>
      </c>
      <c r="K324" s="4">
        <f t="shared" si="63"/>
        <v>35176.6809202647</v>
      </c>
    </row>
    <row r="325" spans="1:11">
      <c r="A325" s="1" t="s">
        <v>7</v>
      </c>
      <c r="B325" s="1">
        <v>2033</v>
      </c>
      <c r="C325" s="10">
        <v>8053.6837</v>
      </c>
      <c r="D325" s="11">
        <v>185654.314825718</v>
      </c>
      <c r="E325" s="3">
        <f t="shared" si="61"/>
        <v>34887.683468647</v>
      </c>
      <c r="F325" s="11">
        <v>8149.6273</v>
      </c>
      <c r="G325" s="11">
        <v>186088.330614604</v>
      </c>
      <c r="H325" s="4">
        <f t="shared" si="62"/>
        <v>32905.56</v>
      </c>
      <c r="I325" s="11">
        <v>8213.6155</v>
      </c>
      <c r="J325" s="11">
        <v>192657.856715209</v>
      </c>
      <c r="K325" s="4">
        <f t="shared" si="63"/>
        <v>35176.6809202647</v>
      </c>
    </row>
    <row r="326" spans="1:11">
      <c r="A326" s="1" t="s">
        <v>7</v>
      </c>
      <c r="B326" s="1">
        <v>2034</v>
      </c>
      <c r="C326" s="10">
        <v>8042.4228</v>
      </c>
      <c r="D326" s="11">
        <v>188271.320172844</v>
      </c>
      <c r="E326" s="3">
        <f t="shared" si="61"/>
        <v>34887.683468647</v>
      </c>
      <c r="F326" s="11">
        <v>8132.6159</v>
      </c>
      <c r="G326" s="11">
        <v>189136.735051473</v>
      </c>
      <c r="H326" s="4">
        <f t="shared" si="62"/>
        <v>32905.56</v>
      </c>
      <c r="I326" s="11">
        <v>8214.8833</v>
      </c>
      <c r="J326" s="11">
        <v>196711.210649761</v>
      </c>
      <c r="K326" s="4">
        <f t="shared" si="63"/>
        <v>35176.6809202647</v>
      </c>
    </row>
    <row r="327" spans="1:11">
      <c r="A327" s="1" t="s">
        <v>7</v>
      </c>
      <c r="B327" s="1">
        <v>2035</v>
      </c>
      <c r="C327" s="10">
        <v>8030.2746</v>
      </c>
      <c r="D327" s="11">
        <v>190968.240493506</v>
      </c>
      <c r="E327" s="18">
        <v>36522.233468647</v>
      </c>
      <c r="F327" s="11">
        <v>8115.1486</v>
      </c>
      <c r="G327" s="11">
        <v>192190.593618225</v>
      </c>
      <c r="H327" s="17">
        <v>34276.54</v>
      </c>
      <c r="I327" s="11">
        <v>8215.2988</v>
      </c>
      <c r="J327" s="11">
        <v>200699.712069472</v>
      </c>
      <c r="K327" s="17">
        <v>36964.9809202647</v>
      </c>
    </row>
    <row r="328" spans="1:11">
      <c r="A328" s="1" t="s">
        <v>7</v>
      </c>
      <c r="B328" s="1">
        <v>2036</v>
      </c>
      <c r="C328" s="10">
        <v>8017.122</v>
      </c>
      <c r="D328" s="11">
        <v>193768.281839374</v>
      </c>
      <c r="E328" s="3">
        <f t="shared" ref="E328:E331" si="64">E327*(1+$L$327)</f>
        <v>36522.233468647</v>
      </c>
      <c r="F328" s="11">
        <v>8097.0944</v>
      </c>
      <c r="G328" s="11">
        <v>195240.226334072</v>
      </c>
      <c r="H328" s="4">
        <f t="shared" ref="H328:H331" si="65">H327*(1+M$327)</f>
        <v>34276.54</v>
      </c>
      <c r="I328" s="11">
        <v>8214.8001</v>
      </c>
      <c r="J328" s="11">
        <v>204537.334783632</v>
      </c>
      <c r="K328" s="4">
        <f t="shared" ref="K328:K331" si="66">K327*(1+N$327)</f>
        <v>36964.9809202647</v>
      </c>
    </row>
    <row r="329" spans="1:11">
      <c r="A329" s="1" t="s">
        <v>7</v>
      </c>
      <c r="B329" s="1">
        <v>2037</v>
      </c>
      <c r="C329" s="10">
        <v>8002.9369</v>
      </c>
      <c r="D329" s="11">
        <v>196524.341689259</v>
      </c>
      <c r="E329" s="3">
        <f t="shared" si="64"/>
        <v>36522.233468647</v>
      </c>
      <c r="F329" s="11">
        <v>8078.3551</v>
      </c>
      <c r="G329" s="11">
        <v>198129.855521366</v>
      </c>
      <c r="H329" s="4">
        <f t="shared" si="65"/>
        <v>34276.54</v>
      </c>
      <c r="I329" s="11">
        <v>8213.3441</v>
      </c>
      <c r="J329" s="11">
        <v>208168.126596143</v>
      </c>
      <c r="K329" s="4">
        <f t="shared" si="66"/>
        <v>36964.9809202647</v>
      </c>
    </row>
    <row r="330" spans="1:11">
      <c r="A330" s="1" t="s">
        <v>7</v>
      </c>
      <c r="B330" s="1">
        <v>2038</v>
      </c>
      <c r="C330" s="10">
        <v>7987.7138</v>
      </c>
      <c r="D330" s="11">
        <v>199046.74037876</v>
      </c>
      <c r="E330" s="3">
        <f t="shared" si="64"/>
        <v>36522.233468647</v>
      </c>
      <c r="F330" s="11">
        <v>8058.8412</v>
      </c>
      <c r="G330" s="11">
        <v>200667.179078245</v>
      </c>
      <c r="H330" s="4">
        <f t="shared" si="65"/>
        <v>34276.54</v>
      </c>
      <c r="I330" s="11">
        <v>8210.8922</v>
      </c>
      <c r="J330" s="11">
        <v>211543.65380956</v>
      </c>
      <c r="K330" s="4">
        <f t="shared" si="66"/>
        <v>36964.9809202647</v>
      </c>
    </row>
    <row r="331" spans="1:11">
      <c r="A331" s="1" t="s">
        <v>7</v>
      </c>
      <c r="B331" s="1">
        <v>2039</v>
      </c>
      <c r="C331" s="10">
        <v>7971.4475</v>
      </c>
      <c r="D331" s="11">
        <v>201145.798243474</v>
      </c>
      <c r="E331" s="3">
        <f t="shared" si="64"/>
        <v>36522.233468647</v>
      </c>
      <c r="F331" s="11">
        <v>8038.4638</v>
      </c>
      <c r="G331" s="11">
        <v>202659.894902847</v>
      </c>
      <c r="H331" s="4">
        <f t="shared" si="65"/>
        <v>34276.54</v>
      </c>
      <c r="I331" s="11">
        <v>8207.4059</v>
      </c>
      <c r="J331" s="11">
        <v>214615.482726437</v>
      </c>
      <c r="K331" s="4">
        <f t="shared" si="66"/>
        <v>36964.9809202647</v>
      </c>
    </row>
    <row r="332" spans="1:11">
      <c r="A332" s="1" t="s">
        <v>7</v>
      </c>
      <c r="B332" s="1">
        <v>2040</v>
      </c>
      <c r="C332" s="10">
        <v>7954.1328</v>
      </c>
      <c r="D332" s="11">
        <v>202631.835619001</v>
      </c>
      <c r="E332" s="18">
        <v>38171.693468647</v>
      </c>
      <c r="F332" s="11">
        <v>8017.1344</v>
      </c>
      <c r="G332" s="11">
        <v>203915.700893311</v>
      </c>
      <c r="H332" s="17">
        <v>35630.2725122642</v>
      </c>
      <c r="I332" s="11">
        <v>8202.8466</v>
      </c>
      <c r="J332" s="11">
        <v>217335.179649329</v>
      </c>
      <c r="K332" s="17">
        <v>38760.6009202647</v>
      </c>
    </row>
    <row r="333" spans="1:11">
      <c r="A333" s="1" t="s">
        <v>7</v>
      </c>
      <c r="B333" s="1">
        <v>2041</v>
      </c>
      <c r="C333" s="10">
        <v>7935.6778</v>
      </c>
      <c r="D333" s="11">
        <v>203394.060806664</v>
      </c>
      <c r="E333" s="3">
        <f t="shared" ref="E333:E336" si="67">E332*(1+0.00355)</f>
        <v>38307.2029804607</v>
      </c>
      <c r="F333" s="11">
        <v>7994.7419</v>
      </c>
      <c r="G333" s="11">
        <v>204325.015645858</v>
      </c>
      <c r="H333" s="4">
        <f t="shared" ref="H333:H336" si="68">H332*(1+M$332)</f>
        <v>35630.2725122642</v>
      </c>
      <c r="I333" s="11">
        <v>8197.0961</v>
      </c>
      <c r="J333" s="11">
        <v>219689.959954774</v>
      </c>
      <c r="K333" s="4">
        <f t="shared" ref="K333:K336" si="69">K332*(1+N$332)</f>
        <v>38760.6009202647</v>
      </c>
    </row>
    <row r="334" spans="1:11">
      <c r="A334" s="1" t="s">
        <v>7</v>
      </c>
      <c r="B334" s="1">
        <v>2042</v>
      </c>
      <c r="C334" s="10">
        <v>7915.6406</v>
      </c>
      <c r="D334" s="11">
        <v>203637.233970689</v>
      </c>
      <c r="E334" s="3">
        <f t="shared" si="67"/>
        <v>38443.1935510413</v>
      </c>
      <c r="F334" s="11">
        <v>7971.0825</v>
      </c>
      <c r="G334" s="11">
        <v>204109.140549049</v>
      </c>
      <c r="H334" s="4">
        <f t="shared" si="68"/>
        <v>35630.2725122642</v>
      </c>
      <c r="I334" s="11">
        <v>8189.7161</v>
      </c>
      <c r="J334" s="11">
        <v>221809.635315239</v>
      </c>
      <c r="K334" s="4">
        <f t="shared" si="69"/>
        <v>38760.6009202647</v>
      </c>
    </row>
    <row r="335" spans="1:11">
      <c r="A335" s="1" t="s">
        <v>7</v>
      </c>
      <c r="B335" s="1">
        <v>2043</v>
      </c>
      <c r="C335" s="10">
        <v>7893.492</v>
      </c>
      <c r="D335" s="11">
        <v>203645.003241028</v>
      </c>
      <c r="E335" s="3">
        <f t="shared" si="67"/>
        <v>38579.6668881475</v>
      </c>
      <c r="F335" s="11">
        <v>7945.9296</v>
      </c>
      <c r="G335" s="11">
        <v>203572.097689527</v>
      </c>
      <c r="H335" s="4">
        <f t="shared" si="68"/>
        <v>35630.2725122642</v>
      </c>
      <c r="I335" s="11">
        <v>8180.1881</v>
      </c>
      <c r="J335" s="11">
        <v>223859.666477175</v>
      </c>
      <c r="K335" s="4">
        <f t="shared" si="69"/>
        <v>38760.6009202647</v>
      </c>
    </row>
    <row r="336" spans="1:11">
      <c r="A336" s="1" t="s">
        <v>7</v>
      </c>
      <c r="B336" s="1">
        <v>2044</v>
      </c>
      <c r="C336" s="10">
        <v>7868.7021</v>
      </c>
      <c r="D336" s="11">
        <v>203701.016747633</v>
      </c>
      <c r="E336" s="3">
        <f t="shared" si="67"/>
        <v>38716.6247056004</v>
      </c>
      <c r="F336" s="11">
        <v>7919.0575</v>
      </c>
      <c r="G336" s="11">
        <v>203017.909153938</v>
      </c>
      <c r="H336" s="4">
        <f t="shared" si="68"/>
        <v>35630.2725122642</v>
      </c>
      <c r="I336" s="11">
        <v>8167.9925</v>
      </c>
      <c r="J336" s="11">
        <v>226005.514187035</v>
      </c>
      <c r="K336" s="4">
        <f t="shared" si="69"/>
        <v>38760.6009202647</v>
      </c>
    </row>
    <row r="337" spans="1:11">
      <c r="A337" s="1" t="s">
        <v>7</v>
      </c>
      <c r="B337" s="1">
        <v>2045</v>
      </c>
      <c r="C337" s="10">
        <v>7840.7406</v>
      </c>
      <c r="D337" s="11">
        <v>204088.922620457</v>
      </c>
      <c r="E337" s="18">
        <v>38854.853468647</v>
      </c>
      <c r="F337" s="11">
        <v>7890.241</v>
      </c>
      <c r="G337" s="11">
        <v>202750.597028926</v>
      </c>
      <c r="H337" s="17">
        <v>36409.9125122642</v>
      </c>
      <c r="I337" s="11">
        <v>8152.6091</v>
      </c>
      <c r="J337" s="11">
        <v>228412.639191268</v>
      </c>
      <c r="K337" s="17">
        <v>39707.7809202647</v>
      </c>
    </row>
    <row r="338" spans="1:11">
      <c r="A338" s="1" t="s">
        <v>7</v>
      </c>
      <c r="B338" s="1">
        <v>2046</v>
      </c>
      <c r="C338" s="10">
        <v>7809.3915</v>
      </c>
      <c r="D338" s="11">
        <v>205009.416739117</v>
      </c>
      <c r="E338" s="3">
        <f t="shared" ref="E338:E341" si="70">E337*(1+0.00347)</f>
        <v>38989.6798101832</v>
      </c>
      <c r="F338" s="11">
        <v>7859.27</v>
      </c>
      <c r="G338" s="11">
        <v>202989.8945188</v>
      </c>
      <c r="H338" s="4">
        <f t="shared" ref="H338:H341" si="71">H337*(1+M$337)</f>
        <v>36409.9125122642</v>
      </c>
      <c r="I338" s="11">
        <v>8133.8319</v>
      </c>
      <c r="J338" s="11">
        <v>231185.201031094</v>
      </c>
      <c r="K338" s="4">
        <f t="shared" ref="K338:K341" si="72">K337*(1+N$337)</f>
        <v>39707.7809202647</v>
      </c>
    </row>
    <row r="339" spans="1:11">
      <c r="A339" s="1" t="s">
        <v>7</v>
      </c>
      <c r="B339" s="1">
        <v>2047</v>
      </c>
      <c r="C339" s="10">
        <v>7775.6962</v>
      </c>
      <c r="D339" s="11">
        <v>206331.385981897</v>
      </c>
      <c r="E339" s="3">
        <f t="shared" si="70"/>
        <v>39124.9739991246</v>
      </c>
      <c r="F339" s="11">
        <v>7825.9914</v>
      </c>
      <c r="G339" s="11">
        <v>203618.379298537</v>
      </c>
      <c r="H339" s="4">
        <f t="shared" si="71"/>
        <v>36409.9125122642</v>
      </c>
      <c r="I339" s="11">
        <v>8112.7148</v>
      </c>
      <c r="J339" s="11">
        <v>234182.154426805</v>
      </c>
      <c r="K339" s="4">
        <f t="shared" si="72"/>
        <v>39707.7809202647</v>
      </c>
    </row>
    <row r="340" spans="1:11">
      <c r="A340" s="1" t="s">
        <v>7</v>
      </c>
      <c r="B340" s="1">
        <v>2048</v>
      </c>
      <c r="C340" s="10">
        <v>7741.0118</v>
      </c>
      <c r="D340" s="11">
        <v>207840.764976745</v>
      </c>
      <c r="E340" s="3">
        <f t="shared" si="70"/>
        <v>39260.7376589015</v>
      </c>
      <c r="F340" s="11">
        <v>7790.2637</v>
      </c>
      <c r="G340" s="11">
        <v>204434.340160777</v>
      </c>
      <c r="H340" s="4">
        <f t="shared" si="71"/>
        <v>36409.9125122642</v>
      </c>
      <c r="I340" s="11">
        <v>8090.6282</v>
      </c>
      <c r="J340" s="11">
        <v>237201.152893461</v>
      </c>
      <c r="K340" s="4">
        <f t="shared" si="72"/>
        <v>39707.7809202647</v>
      </c>
    </row>
    <row r="341" spans="1:11">
      <c r="A341" s="1" t="s">
        <v>7</v>
      </c>
      <c r="B341" s="1">
        <v>2049</v>
      </c>
      <c r="C341" s="10">
        <v>7706.6962</v>
      </c>
      <c r="D341" s="11">
        <v>209323.488351612</v>
      </c>
      <c r="E341" s="3">
        <f t="shared" si="70"/>
        <v>39396.9724185779</v>
      </c>
      <c r="F341" s="11">
        <v>7751.9435</v>
      </c>
      <c r="G341" s="11">
        <v>205236.065898164</v>
      </c>
      <c r="H341" s="4">
        <f t="shared" si="71"/>
        <v>36409.9125122642</v>
      </c>
      <c r="I341" s="11">
        <v>8068.9445</v>
      </c>
      <c r="J341" s="11">
        <v>240039.849946121</v>
      </c>
      <c r="K341" s="4">
        <f t="shared" si="72"/>
        <v>39707.7809202647</v>
      </c>
    </row>
    <row r="342" spans="1:11">
      <c r="A342" s="1" t="s">
        <v>7</v>
      </c>
      <c r="B342" s="1">
        <v>2050</v>
      </c>
      <c r="C342" s="10">
        <v>7674.1091</v>
      </c>
      <c r="D342" s="11">
        <v>210565.490734447</v>
      </c>
      <c r="E342" s="18">
        <v>39534.593468647</v>
      </c>
      <c r="F342" s="11">
        <v>7710.8841</v>
      </c>
      <c r="G342" s="11">
        <v>205821.845303337</v>
      </c>
      <c r="H342" s="17">
        <v>37185.7325122643</v>
      </c>
      <c r="I342" s="11">
        <v>8049.0386</v>
      </c>
      <c r="J342" s="11">
        <v>242495.899099846</v>
      </c>
      <c r="K342" s="17">
        <v>40650.9309202647</v>
      </c>
    </row>
    <row r="343" spans="1:11">
      <c r="A343" s="1" t="s">
        <v>7</v>
      </c>
      <c r="B343" s="1">
        <v>2051</v>
      </c>
      <c r="C343" s="10">
        <v>7644.06</v>
      </c>
      <c r="D343" s="11">
        <v>211416.784659645</v>
      </c>
      <c r="E343" s="18">
        <v>39534.593468647</v>
      </c>
      <c r="F343" s="11">
        <v>7667.0338</v>
      </c>
      <c r="G343" s="11">
        <v>206038.668271438</v>
      </c>
      <c r="H343" s="17">
        <v>37185.7325122643</v>
      </c>
      <c r="I343" s="11">
        <v>8031.7324</v>
      </c>
      <c r="J343" s="11">
        <v>244435.576822227</v>
      </c>
      <c r="K343" s="17">
        <v>40650.9309202647</v>
      </c>
    </row>
    <row r="344" spans="1:11">
      <c r="A344" s="1" t="s">
        <v>7</v>
      </c>
      <c r="B344" s="1">
        <v>2052</v>
      </c>
      <c r="C344" s="10">
        <v>7615.1491</v>
      </c>
      <c r="D344" s="11">
        <v>211983.69428738</v>
      </c>
      <c r="E344" s="18">
        <v>39534.593468647</v>
      </c>
      <c r="F344" s="11">
        <v>7620.7285</v>
      </c>
      <c r="G344" s="11">
        <v>205928.3291076</v>
      </c>
      <c r="H344" s="17">
        <v>37185.7325122643</v>
      </c>
      <c r="I344" s="11">
        <v>8015.6245</v>
      </c>
      <c r="J344" s="11">
        <v>245999.651390979</v>
      </c>
      <c r="K344" s="17">
        <v>40650.9309202647</v>
      </c>
    </row>
    <row r="345" spans="1:11">
      <c r="A345" s="1" t="s">
        <v>7</v>
      </c>
      <c r="B345" s="1">
        <v>2053</v>
      </c>
      <c r="C345" s="10">
        <v>7585.4223</v>
      </c>
      <c r="D345" s="11">
        <v>212436.621684276</v>
      </c>
      <c r="E345" s="18">
        <v>39534.593468647</v>
      </c>
      <c r="F345" s="11">
        <v>7572.4003</v>
      </c>
      <c r="G345" s="11">
        <v>205581.323219455</v>
      </c>
      <c r="H345" s="17">
        <v>37185.7325122643</v>
      </c>
      <c r="I345" s="11">
        <v>7998.7575</v>
      </c>
      <c r="J345" s="11">
        <v>247397.514036349</v>
      </c>
      <c r="K345" s="17">
        <v>40650.9309202647</v>
      </c>
    </row>
    <row r="346" spans="1:11">
      <c r="A346" s="1" t="s">
        <v>7</v>
      </c>
      <c r="B346" s="1">
        <v>2054</v>
      </c>
      <c r="C346" s="10">
        <v>7552.9223</v>
      </c>
      <c r="D346" s="11">
        <v>212945.968916953</v>
      </c>
      <c r="E346" s="18">
        <v>39534.593468647</v>
      </c>
      <c r="F346" s="11">
        <v>7522.4799</v>
      </c>
      <c r="G346" s="11">
        <v>205088.146014636</v>
      </c>
      <c r="H346" s="17">
        <v>37185.7325122643</v>
      </c>
      <c r="I346" s="11">
        <v>7979.1721</v>
      </c>
      <c r="J346" s="11">
        <v>248838.555988583</v>
      </c>
      <c r="K346" s="17">
        <v>40650.9309202647</v>
      </c>
    </row>
    <row r="347" spans="1:11">
      <c r="A347" s="1" t="s">
        <v>7</v>
      </c>
      <c r="B347" s="1">
        <v>2055</v>
      </c>
      <c r="C347" s="10">
        <v>7515.6853</v>
      </c>
      <c r="D347" s="11">
        <v>213682.138052032</v>
      </c>
      <c r="E347" s="18">
        <v>39534.593468647</v>
      </c>
      <c r="F347" s="11">
        <v>7471.3968</v>
      </c>
      <c r="G347" s="11">
        <v>204539.292900774</v>
      </c>
      <c r="H347" s="17">
        <v>37185.7325122643</v>
      </c>
      <c r="I347" s="11">
        <v>7954.9047</v>
      </c>
      <c r="J347" s="11">
        <v>250532.168477928</v>
      </c>
      <c r="K347" s="17">
        <v>40650.9309202647</v>
      </c>
    </row>
    <row r="348" spans="1:11">
      <c r="A348" s="1" t="s">
        <v>7</v>
      </c>
      <c r="B348" s="1">
        <v>2056</v>
      </c>
      <c r="C348" s="10">
        <v>7472.2937</v>
      </c>
      <c r="D348" s="11">
        <v>214759.448542887</v>
      </c>
      <c r="E348" s="18">
        <v>39534.593468647</v>
      </c>
      <c r="F348" s="11">
        <v>7419.5201</v>
      </c>
      <c r="G348" s="11">
        <v>204012.968904127</v>
      </c>
      <c r="H348" s="17">
        <v>37185.7325122643</v>
      </c>
      <c r="I348" s="11">
        <v>7924.5427</v>
      </c>
      <c r="J348" s="11">
        <v>252660.525001864</v>
      </c>
      <c r="K348" s="17">
        <v>40650.9309202647</v>
      </c>
    </row>
    <row r="349" spans="1:11">
      <c r="A349" s="1" t="s">
        <v>7</v>
      </c>
      <c r="B349" s="1">
        <v>2057</v>
      </c>
      <c r="C349" s="10">
        <v>7423.5465</v>
      </c>
      <c r="D349" s="11">
        <v>216067.889389899</v>
      </c>
      <c r="E349" s="18">
        <v>39534.593468647</v>
      </c>
      <c r="F349" s="11">
        <v>7366.9798</v>
      </c>
      <c r="G349" s="11">
        <v>203538.217525451</v>
      </c>
      <c r="H349" s="17">
        <v>37185.7325122643</v>
      </c>
      <c r="I349" s="11">
        <v>7888.9007</v>
      </c>
      <c r="J349" s="11">
        <v>255296.928126801</v>
      </c>
      <c r="K349" s="17">
        <v>40650.9309202647</v>
      </c>
    </row>
    <row r="350" spans="1:11">
      <c r="A350" s="1" t="s">
        <v>7</v>
      </c>
      <c r="B350" s="1">
        <v>2058</v>
      </c>
      <c r="C350" s="10">
        <v>7370.7987</v>
      </c>
      <c r="D350" s="11">
        <v>217441.366980202</v>
      </c>
      <c r="E350" s="18">
        <v>39534.593468647</v>
      </c>
      <c r="F350" s="11">
        <v>7313.8441</v>
      </c>
      <c r="G350" s="11">
        <v>203131.791884128</v>
      </c>
      <c r="H350" s="17">
        <v>37185.7325122643</v>
      </c>
      <c r="I350" s="11">
        <v>7849.3538</v>
      </c>
      <c r="J350" s="11">
        <v>258487.462686381</v>
      </c>
      <c r="K350" s="17">
        <v>40650.9309202647</v>
      </c>
    </row>
    <row r="351" spans="1:11">
      <c r="A351" s="1" t="s">
        <v>7</v>
      </c>
      <c r="B351" s="1">
        <v>2059</v>
      </c>
      <c r="C351" s="10">
        <v>7315.4089</v>
      </c>
      <c r="D351" s="11">
        <v>218713.78770093</v>
      </c>
      <c r="E351" s="18">
        <v>39534.593468647</v>
      </c>
      <c r="F351" s="11">
        <v>7260.179</v>
      </c>
      <c r="G351" s="11">
        <v>202810.445099541</v>
      </c>
      <c r="H351" s="17">
        <v>37185.7325122643</v>
      </c>
      <c r="I351" s="11">
        <v>7807.2818</v>
      </c>
      <c r="J351" s="11">
        <v>262278.213514249</v>
      </c>
      <c r="K351" s="17">
        <v>40650.9309202647</v>
      </c>
    </row>
    <row r="352" spans="1:11">
      <c r="A352" s="1" t="s">
        <v>7</v>
      </c>
      <c r="B352" s="1">
        <v>2060</v>
      </c>
      <c r="C352" s="10">
        <v>7258.742</v>
      </c>
      <c r="D352" s="11">
        <v>219719.057939215</v>
      </c>
      <c r="E352" s="18">
        <v>39534.593468647</v>
      </c>
      <c r="F352" s="11">
        <v>7206.0474</v>
      </c>
      <c r="G352" s="11">
        <v>202590.93029107</v>
      </c>
      <c r="H352" s="17">
        <v>37185.7325122643</v>
      </c>
      <c r="I352" s="11">
        <v>7764.0731</v>
      </c>
      <c r="J352" s="11">
        <v>266715.265444046</v>
      </c>
      <c r="K352" s="17">
        <v>40650.9309202647</v>
      </c>
    </row>
    <row r="353" spans="1:11">
      <c r="A353" s="1" t="s">
        <v>7</v>
      </c>
      <c r="B353" s="1">
        <v>2061</v>
      </c>
      <c r="C353" s="10">
        <v>7201.9151</v>
      </c>
      <c r="D353" s="11">
        <v>220357.522656299</v>
      </c>
      <c r="E353" s="18">
        <v>39534.593468647</v>
      </c>
      <c r="F353" s="11">
        <v>7151.5557</v>
      </c>
      <c r="G353" s="11">
        <v>202482.919370337</v>
      </c>
      <c r="H353" s="17">
        <v>37185.7325122643</v>
      </c>
      <c r="I353" s="11">
        <v>7720.8622</v>
      </c>
      <c r="J353" s="11">
        <v>271820.97752089</v>
      </c>
      <c r="K353" s="17">
        <v>40650.9309202647</v>
      </c>
    </row>
    <row r="354" spans="1:11">
      <c r="A354" s="1" t="s">
        <v>7</v>
      </c>
      <c r="B354" s="1">
        <v>2062</v>
      </c>
      <c r="C354" s="10">
        <v>7145.0219</v>
      </c>
      <c r="D354" s="11">
        <v>220795.281109846</v>
      </c>
      <c r="E354" s="18">
        <v>39534.593468647</v>
      </c>
      <c r="F354" s="11">
        <v>7096.9947</v>
      </c>
      <c r="G354" s="11">
        <v>202467.759417924</v>
      </c>
      <c r="H354" s="17">
        <v>37185.7325122643</v>
      </c>
      <c r="I354" s="11">
        <v>7677.7298</v>
      </c>
      <c r="J354" s="11">
        <v>277522.805635792</v>
      </c>
      <c r="K354" s="17">
        <v>40650.9309202647</v>
      </c>
    </row>
    <row r="355" spans="1:11">
      <c r="A355" s="1" t="s">
        <v>7</v>
      </c>
      <c r="B355" s="1">
        <v>2063</v>
      </c>
      <c r="C355" s="10">
        <v>7087.8984</v>
      </c>
      <c r="D355" s="11">
        <v>221264.871131629</v>
      </c>
      <c r="E355" s="18">
        <v>39534.593468647</v>
      </c>
      <c r="F355" s="11">
        <v>7042.7072</v>
      </c>
      <c r="G355" s="11">
        <v>202519.71630665</v>
      </c>
      <c r="H355" s="17">
        <v>37185.7325122643</v>
      </c>
      <c r="I355" s="11">
        <v>7634.4888</v>
      </c>
      <c r="J355" s="11">
        <v>283724.479891239</v>
      </c>
      <c r="K355" s="17">
        <v>40650.9309202647</v>
      </c>
    </row>
    <row r="356" spans="1:11">
      <c r="A356" s="1" t="s">
        <v>7</v>
      </c>
      <c r="B356" s="1">
        <v>2064</v>
      </c>
      <c r="C356" s="10">
        <v>7030.3784</v>
      </c>
      <c r="D356" s="11">
        <v>221998.830553418</v>
      </c>
      <c r="E356" s="18">
        <v>39534.593468647</v>
      </c>
      <c r="F356" s="11">
        <v>6989.0427</v>
      </c>
      <c r="G356" s="11">
        <v>202613.055909336</v>
      </c>
      <c r="H356" s="17">
        <v>37185.7325122643</v>
      </c>
      <c r="I356" s="11">
        <v>7590.948</v>
      </c>
      <c r="J356" s="11">
        <v>290329.730389718</v>
      </c>
      <c r="K356" s="17">
        <v>40650.9309202647</v>
      </c>
    </row>
    <row r="357" spans="1:11">
      <c r="A357" s="1" t="s">
        <v>7</v>
      </c>
      <c r="B357" s="1">
        <v>2065</v>
      </c>
      <c r="C357" s="10">
        <v>6972.2933</v>
      </c>
      <c r="D357" s="11">
        <v>223229.697206988</v>
      </c>
      <c r="E357" s="18">
        <v>39534.593468647</v>
      </c>
      <c r="F357" s="11">
        <v>6936.3587</v>
      </c>
      <c r="G357" s="11">
        <v>202722.044098802</v>
      </c>
      <c r="H357" s="17">
        <v>37185.7325122643</v>
      </c>
      <c r="I357" s="11">
        <v>7546.91</v>
      </c>
      <c r="J357" s="11">
        <v>297242.287233713</v>
      </c>
      <c r="K357" s="17">
        <v>40650.9309202647</v>
      </c>
    </row>
    <row r="358" spans="1:11">
      <c r="A358" s="1" t="s">
        <v>7</v>
      </c>
      <c r="B358" s="1">
        <v>2066</v>
      </c>
      <c r="C358" s="10">
        <v>6913.578</v>
      </c>
      <c r="D358" s="11">
        <v>225091.3532375</v>
      </c>
      <c r="E358" s="18">
        <v>39534.593468647</v>
      </c>
      <c r="F358" s="11">
        <v>6884.8983</v>
      </c>
      <c r="G358" s="11">
        <v>202820.912681894</v>
      </c>
      <c r="H358" s="17">
        <v>37185.7325122643</v>
      </c>
      <c r="I358" s="11">
        <v>7502.2823</v>
      </c>
      <c r="J358" s="11">
        <v>304334.884891787</v>
      </c>
      <c r="K358" s="17">
        <v>40650.9309202647</v>
      </c>
    </row>
    <row r="359" spans="1:11">
      <c r="A359" s="1" t="s">
        <v>7</v>
      </c>
      <c r="B359" s="1">
        <v>2067</v>
      </c>
      <c r="C359" s="10">
        <v>6854.5974</v>
      </c>
      <c r="D359" s="11">
        <v>227323.05804369</v>
      </c>
      <c r="E359" s="18">
        <v>39534.593468647</v>
      </c>
      <c r="F359" s="11">
        <v>6834.4203</v>
      </c>
      <c r="G359" s="11">
        <v>202883.757201548</v>
      </c>
      <c r="H359" s="17">
        <v>37185.7325122643</v>
      </c>
      <c r="I359" s="11">
        <v>7457.4143</v>
      </c>
      <c r="J359" s="11">
        <v>311356.275296809</v>
      </c>
      <c r="K359" s="17">
        <v>40650.9309202647</v>
      </c>
    </row>
    <row r="360" spans="1:11">
      <c r="A360" s="1" t="s">
        <v>7</v>
      </c>
      <c r="B360" s="1">
        <v>2068</v>
      </c>
      <c r="C360" s="10">
        <v>6795.8289</v>
      </c>
      <c r="D360" s="11">
        <v>229565.415337685</v>
      </c>
      <c r="E360" s="18">
        <v>39534.593468647</v>
      </c>
      <c r="F360" s="11">
        <v>6784.56</v>
      </c>
      <c r="G360" s="11">
        <v>202884.639134727</v>
      </c>
      <c r="H360" s="17">
        <v>37185.7325122643</v>
      </c>
      <c r="I360" s="11">
        <v>7412.7677</v>
      </c>
      <c r="J360" s="11">
        <v>318024.214747724</v>
      </c>
      <c r="K360" s="17">
        <v>40650.9309202647</v>
      </c>
    </row>
    <row r="361" spans="1:11">
      <c r="A361" s="1" t="s">
        <v>7</v>
      </c>
      <c r="B361" s="1">
        <v>2069</v>
      </c>
      <c r="C361" s="10">
        <v>6737.7562</v>
      </c>
      <c r="D361" s="11">
        <v>231459.028831611</v>
      </c>
      <c r="E361" s="18">
        <v>39534.593468647</v>
      </c>
      <c r="F361" s="11">
        <v>6734.9498</v>
      </c>
      <c r="G361" s="11">
        <v>202797.619958392</v>
      </c>
      <c r="H361" s="17">
        <v>37185.7325122643</v>
      </c>
      <c r="I361" s="11">
        <v>7368.806</v>
      </c>
      <c r="J361" s="11">
        <v>324056.459543476</v>
      </c>
      <c r="K361" s="17">
        <v>40650.9309202647</v>
      </c>
    </row>
    <row r="362" spans="1:11">
      <c r="A362" s="1" t="s">
        <v>7</v>
      </c>
      <c r="B362" s="1">
        <v>2070</v>
      </c>
      <c r="C362" s="10">
        <v>6680.8696</v>
      </c>
      <c r="D362" s="11">
        <v>232644.502237595</v>
      </c>
      <c r="E362" s="18">
        <v>39534.593468647</v>
      </c>
      <c r="F362" s="11">
        <v>6685.2202</v>
      </c>
      <c r="G362" s="11">
        <v>202596.761149505</v>
      </c>
      <c r="H362" s="17">
        <v>37185.7325122643</v>
      </c>
      <c r="I362" s="11">
        <v>7325.9939</v>
      </c>
      <c r="J362" s="11">
        <v>329170.765983011</v>
      </c>
      <c r="K362" s="17">
        <v>40650.9309202647</v>
      </c>
    </row>
    <row r="363" spans="1:11">
      <c r="A363" s="1" t="s">
        <v>7</v>
      </c>
      <c r="B363" s="1">
        <v>2071</v>
      </c>
      <c r="C363" s="10">
        <v>6625.5185</v>
      </c>
      <c r="D363" s="11">
        <v>232879.666140656</v>
      </c>
      <c r="E363" s="18">
        <v>39534.593468647</v>
      </c>
      <c r="F363" s="11">
        <v>6635.0778</v>
      </c>
      <c r="G363" s="11">
        <v>202281.919899782</v>
      </c>
      <c r="H363" s="17">
        <v>37185.7325122643</v>
      </c>
      <c r="I363" s="11">
        <v>7284.6562</v>
      </c>
      <c r="J363" s="11">
        <v>333201.158825626</v>
      </c>
      <c r="K363" s="17">
        <v>40650.9309202647</v>
      </c>
    </row>
    <row r="364" spans="1:11">
      <c r="A364" s="1" t="s">
        <v>7</v>
      </c>
      <c r="B364" s="1">
        <v>2072</v>
      </c>
      <c r="C364" s="10">
        <v>6571.4683</v>
      </c>
      <c r="D364" s="11">
        <v>232391.258617381</v>
      </c>
      <c r="E364" s="18">
        <v>39534.593468647</v>
      </c>
      <c r="F364" s="11">
        <v>6584.5432</v>
      </c>
      <c r="G364" s="11">
        <v>201956.136259953</v>
      </c>
      <c r="H364" s="17">
        <v>37185.7325122643</v>
      </c>
      <c r="I364" s="11">
        <v>7244.5533</v>
      </c>
      <c r="J364" s="11">
        <v>336446.736672022</v>
      </c>
      <c r="K364" s="17">
        <v>40650.9309202647</v>
      </c>
    </row>
    <row r="365" spans="1:11">
      <c r="A365" s="1" t="s">
        <v>7</v>
      </c>
      <c r="B365" s="1">
        <v>2073</v>
      </c>
      <c r="C365" s="10">
        <v>6518.3344</v>
      </c>
      <c r="D365" s="11">
        <v>231523.244617249</v>
      </c>
      <c r="E365" s="18">
        <v>39534.593468647</v>
      </c>
      <c r="F365" s="11">
        <v>6533.7175</v>
      </c>
      <c r="G365" s="11">
        <v>201748.245995502</v>
      </c>
      <c r="H365" s="17">
        <v>37185.7325122643</v>
      </c>
      <c r="I365" s="11">
        <v>7205.3032</v>
      </c>
      <c r="J365" s="11">
        <v>339322.866583255</v>
      </c>
      <c r="K365" s="17">
        <v>40650.9309202647</v>
      </c>
    </row>
    <row r="366" spans="1:11">
      <c r="A366" s="1" t="s">
        <v>7</v>
      </c>
      <c r="B366" s="1">
        <v>2074</v>
      </c>
      <c r="C366" s="10">
        <v>6465.7291</v>
      </c>
      <c r="D366" s="11">
        <v>230619.589089738</v>
      </c>
      <c r="E366" s="18">
        <v>39534.593468647</v>
      </c>
      <c r="F366" s="11">
        <v>6482.7045</v>
      </c>
      <c r="G366" s="11">
        <v>201787.084871913</v>
      </c>
      <c r="H366" s="17">
        <v>37185.7325122643</v>
      </c>
      <c r="I366" s="11">
        <v>7166.5225</v>
      </c>
      <c r="J366" s="11">
        <v>342244.915620379</v>
      </c>
      <c r="K366" s="17">
        <v>40650.9309202647</v>
      </c>
    </row>
    <row r="367" spans="1:11">
      <c r="A367" s="1" t="s">
        <v>7</v>
      </c>
      <c r="B367" s="1">
        <v>2075</v>
      </c>
      <c r="C367" s="10">
        <v>6413.2611</v>
      </c>
      <c r="D367" s="11">
        <v>230024.256984327</v>
      </c>
      <c r="E367" s="18">
        <v>39534.593468647</v>
      </c>
      <c r="F367" s="11">
        <v>6431.61</v>
      </c>
      <c r="G367" s="11">
        <v>202201.488654668</v>
      </c>
      <c r="H367" s="17">
        <v>37185.7325122643</v>
      </c>
      <c r="I367" s="11">
        <v>7127.8265</v>
      </c>
      <c r="J367" s="11">
        <v>345628.250844448</v>
      </c>
      <c r="K367" s="17">
        <v>40650.9309202647</v>
      </c>
    </row>
    <row r="368" spans="1:11">
      <c r="A368" s="1" t="s">
        <v>7</v>
      </c>
      <c r="B368" s="1">
        <v>2076</v>
      </c>
      <c r="C368" s="10">
        <v>6360.461</v>
      </c>
      <c r="D368" s="11">
        <v>229981.867525954</v>
      </c>
      <c r="E368" s="18">
        <v>39534.593468647</v>
      </c>
      <c r="F368" s="11">
        <v>6380.4791</v>
      </c>
      <c r="G368" s="11">
        <v>203071.668757586</v>
      </c>
      <c r="H368" s="17">
        <v>37185.7325122643</v>
      </c>
      <c r="I368" s="11">
        <v>7088.7435</v>
      </c>
      <c r="J368" s="11">
        <v>349753.814988892</v>
      </c>
      <c r="K368" s="17">
        <v>40650.9309202647</v>
      </c>
    </row>
    <row r="369" spans="1:11">
      <c r="A369" s="1" t="s">
        <v>7</v>
      </c>
      <c r="B369" s="1">
        <v>2077</v>
      </c>
      <c r="C369" s="10">
        <v>6306.5556</v>
      </c>
      <c r="D369" s="11">
        <v>230339.657041387</v>
      </c>
      <c r="E369" s="18">
        <v>39534.593468647</v>
      </c>
      <c r="F369" s="11">
        <v>6329.1037</v>
      </c>
      <c r="G369" s="11">
        <v>204283.339187808</v>
      </c>
      <c r="H369" s="17">
        <v>37185.7325122643</v>
      </c>
      <c r="I369" s="11">
        <v>7048.4588</v>
      </c>
      <c r="J369" s="11">
        <v>354364.853476634</v>
      </c>
      <c r="K369" s="17">
        <v>40650.9309202647</v>
      </c>
    </row>
    <row r="370" spans="1:11">
      <c r="A370" s="1" t="s">
        <v>7</v>
      </c>
      <c r="B370" s="1">
        <v>2078</v>
      </c>
      <c r="C370" s="10">
        <v>6250.6949</v>
      </c>
      <c r="D370" s="11">
        <v>230845.516132853</v>
      </c>
      <c r="E370" s="18">
        <v>39534.593468647</v>
      </c>
      <c r="F370" s="11">
        <v>6277.203</v>
      </c>
      <c r="G370" s="11">
        <v>205673.589600811</v>
      </c>
      <c r="H370" s="17">
        <v>37185.7325122643</v>
      </c>
      <c r="I370" s="11">
        <v>7006.0778</v>
      </c>
      <c r="J370" s="11">
        <v>359070.187402972</v>
      </c>
      <c r="K370" s="17">
        <v>40650.9309202647</v>
      </c>
    </row>
    <row r="371" spans="1:11">
      <c r="A371" s="1" t="s">
        <v>7</v>
      </c>
      <c r="B371" s="1">
        <v>2079</v>
      </c>
      <c r="C371" s="10">
        <v>6192.0273</v>
      </c>
      <c r="D371" s="11">
        <v>231247.335402577</v>
      </c>
      <c r="E371" s="18">
        <v>39534.593468647</v>
      </c>
      <c r="F371" s="11">
        <v>6224.4845</v>
      </c>
      <c r="G371" s="11">
        <v>207079.509652072</v>
      </c>
      <c r="H371" s="17">
        <v>37185.7325122643</v>
      </c>
      <c r="I371" s="11">
        <v>6960.7142</v>
      </c>
      <c r="J371" s="11">
        <v>363478.637863205</v>
      </c>
      <c r="K371" s="17">
        <v>40650.9309202647</v>
      </c>
    </row>
    <row r="372" spans="1:11">
      <c r="A372" s="1" t="s">
        <v>7</v>
      </c>
      <c r="B372" s="1">
        <v>2080</v>
      </c>
      <c r="C372" s="10">
        <v>6129.6999</v>
      </c>
      <c r="D372" s="11">
        <v>231293.005452787</v>
      </c>
      <c r="E372" s="18">
        <v>39534.593468647</v>
      </c>
      <c r="F372" s="11">
        <v>6170.6431</v>
      </c>
      <c r="G372" s="11">
        <v>208338.188997065</v>
      </c>
      <c r="H372" s="17">
        <v>37185.7325122643</v>
      </c>
      <c r="I372" s="11">
        <v>6911.4911</v>
      </c>
      <c r="J372" s="11">
        <v>367199.025952629</v>
      </c>
      <c r="K372" s="17">
        <v>40650.9309202647</v>
      </c>
    </row>
    <row r="373" spans="1:11">
      <c r="A373" s="1" t="s">
        <v>7</v>
      </c>
      <c r="B373" s="1">
        <v>2081</v>
      </c>
      <c r="C373" s="10">
        <v>6063.1619</v>
      </c>
      <c r="D373" s="11">
        <v>230803.149015768</v>
      </c>
      <c r="E373" s="18">
        <v>39534.593468647</v>
      </c>
      <c r="F373" s="11">
        <v>6115.5115</v>
      </c>
      <c r="G373" s="11">
        <v>209334.525867526</v>
      </c>
      <c r="H373" s="17">
        <v>37185.7325122643</v>
      </c>
      <c r="I373" s="11">
        <v>6857.867</v>
      </c>
      <c r="J373" s="11">
        <v>369982.505015711</v>
      </c>
      <c r="K373" s="17">
        <v>40650.9309202647</v>
      </c>
    </row>
    <row r="374" spans="1:11">
      <c r="A374" s="1" t="s">
        <v>7</v>
      </c>
      <c r="B374" s="1">
        <v>2082</v>
      </c>
      <c r="C374" s="10">
        <v>5993.0759</v>
      </c>
      <c r="D374" s="11">
        <v>229889.317344041</v>
      </c>
      <c r="E374" s="18">
        <v>39534.593468647</v>
      </c>
      <c r="F374" s="11">
        <v>6059.5241</v>
      </c>
      <c r="G374" s="11">
        <v>210144.652800223</v>
      </c>
      <c r="H374" s="17">
        <v>37185.7325122643</v>
      </c>
      <c r="I374" s="11">
        <v>6800.604</v>
      </c>
      <c r="J374" s="11">
        <v>372149.557393577</v>
      </c>
      <c r="K374" s="17">
        <v>40650.9309202647</v>
      </c>
    </row>
    <row r="375" spans="1:11">
      <c r="A375" s="1" t="s">
        <v>7</v>
      </c>
      <c r="B375" s="1">
        <v>2083</v>
      </c>
      <c r="C375" s="10">
        <v>5920.4048</v>
      </c>
      <c r="D375" s="11">
        <v>228735.793820188</v>
      </c>
      <c r="E375" s="18">
        <v>39534.593468647</v>
      </c>
      <c r="F375" s="11">
        <v>6003.2812</v>
      </c>
      <c r="G375" s="11">
        <v>210892.510908185</v>
      </c>
      <c r="H375" s="17">
        <v>37185.7325122643</v>
      </c>
      <c r="I375" s="11">
        <v>6740.7792</v>
      </c>
      <c r="J375" s="11">
        <v>374162.997676522</v>
      </c>
      <c r="K375" s="17">
        <v>40650.9309202647</v>
      </c>
    </row>
    <row r="376" spans="1:11">
      <c r="A376" s="1" t="s">
        <v>7</v>
      </c>
      <c r="B376" s="1">
        <v>2084</v>
      </c>
      <c r="C376" s="10">
        <v>5846.1076</v>
      </c>
      <c r="D376" s="11">
        <v>227526.861826789</v>
      </c>
      <c r="E376" s="18">
        <v>39534.593468647</v>
      </c>
      <c r="F376" s="11">
        <v>5947.4011</v>
      </c>
      <c r="G376" s="11">
        <v>211702.04130444</v>
      </c>
      <c r="H376" s="17">
        <v>37185.7325122643</v>
      </c>
      <c r="I376" s="11">
        <v>6679.4568</v>
      </c>
      <c r="J376" s="11">
        <v>376485.640454841</v>
      </c>
      <c r="K376" s="17">
        <v>40650.9309202647</v>
      </c>
    </row>
    <row r="377" spans="1:11">
      <c r="A377" s="1" t="s">
        <v>7</v>
      </c>
      <c r="B377" s="1">
        <v>2085</v>
      </c>
      <c r="C377" s="10">
        <v>5771.1389</v>
      </c>
      <c r="D377" s="11">
        <v>226446.804746425</v>
      </c>
      <c r="E377" s="18">
        <v>39534.593468647</v>
      </c>
      <c r="F377" s="11">
        <v>5892.5217</v>
      </c>
      <c r="G377" s="11">
        <v>212697.185102016</v>
      </c>
      <c r="H377" s="17">
        <v>37185.7325122643</v>
      </c>
      <c r="I377" s="11">
        <v>6617.6852</v>
      </c>
      <c r="J377" s="11">
        <v>379580.300318827</v>
      </c>
      <c r="K377" s="17">
        <v>40650.9309202647</v>
      </c>
    </row>
    <row r="378" spans="1:11">
      <c r="A378" s="1" t="s">
        <v>7</v>
      </c>
      <c r="B378" s="1">
        <v>2086</v>
      </c>
      <c r="C378" s="10">
        <v>5696.3976</v>
      </c>
      <c r="D378" s="11">
        <v>225634.837324557</v>
      </c>
      <c r="E378" s="18">
        <v>39534.593468647</v>
      </c>
      <c r="F378" s="11">
        <v>5839.191</v>
      </c>
      <c r="G378" s="11">
        <v>213977.628247461</v>
      </c>
      <c r="H378" s="17">
        <v>37185.7325122643</v>
      </c>
      <c r="I378" s="11">
        <v>6556.4077</v>
      </c>
      <c r="J378" s="11">
        <v>383766.405456905</v>
      </c>
      <c r="K378" s="17">
        <v>40650.9309202647</v>
      </c>
    </row>
    <row r="379" spans="1:11">
      <c r="A379" s="1" t="s">
        <v>7</v>
      </c>
      <c r="B379" s="1">
        <v>2087</v>
      </c>
      <c r="C379" s="10">
        <v>5622.5754</v>
      </c>
      <c r="D379" s="11">
        <v>225049.899758164</v>
      </c>
      <c r="E379" s="18">
        <v>39534.593468647</v>
      </c>
      <c r="F379" s="11">
        <v>5787.5286</v>
      </c>
      <c r="G379" s="11">
        <v>215546.036021402</v>
      </c>
      <c r="H379" s="17">
        <v>37185.7325122643</v>
      </c>
      <c r="I379" s="11">
        <v>6496.201</v>
      </c>
      <c r="J379" s="11">
        <v>388789.838450024</v>
      </c>
      <c r="K379" s="17">
        <v>40650.9309202647</v>
      </c>
    </row>
    <row r="380" spans="1:11">
      <c r="A380" s="1" t="s">
        <v>7</v>
      </c>
      <c r="B380" s="1">
        <v>2088</v>
      </c>
      <c r="C380" s="10">
        <v>5550.3184</v>
      </c>
      <c r="D380" s="11">
        <v>224605.86360711</v>
      </c>
      <c r="E380" s="18">
        <v>39534.593468647</v>
      </c>
      <c r="F380" s="11">
        <v>5737.5465</v>
      </c>
      <c r="G380" s="11">
        <v>217380.818537986</v>
      </c>
      <c r="H380" s="17">
        <v>37185.7325122643</v>
      </c>
      <c r="I380" s="11">
        <v>6437.5492</v>
      </c>
      <c r="J380" s="11">
        <v>394253.095477262</v>
      </c>
      <c r="K380" s="17">
        <v>40650.9309202647</v>
      </c>
    </row>
    <row r="381" spans="1:11">
      <c r="A381" s="1" t="s">
        <v>7</v>
      </c>
      <c r="B381" s="1">
        <v>2089</v>
      </c>
      <c r="C381" s="10">
        <v>5480.2813</v>
      </c>
      <c r="D381" s="11">
        <v>224216.600431253</v>
      </c>
      <c r="E381" s="18">
        <v>39534.593468647</v>
      </c>
      <c r="F381" s="11">
        <v>5689.2584</v>
      </c>
      <c r="G381" s="11">
        <v>219460.385911359</v>
      </c>
      <c r="H381" s="17">
        <v>37185.7325122643</v>
      </c>
      <c r="I381" s="11">
        <v>6380.9336</v>
      </c>
      <c r="J381" s="11">
        <v>399758.672717699</v>
      </c>
      <c r="K381" s="17">
        <v>40650.9309202647</v>
      </c>
    </row>
    <row r="382" spans="1:11">
      <c r="A382" s="1" t="s">
        <v>7</v>
      </c>
      <c r="B382" s="1">
        <v>2090</v>
      </c>
      <c r="C382" s="10">
        <v>5413.127</v>
      </c>
      <c r="D382" s="11">
        <v>223795.981790457</v>
      </c>
      <c r="E382" s="18">
        <v>39534.593468647</v>
      </c>
      <c r="F382" s="11">
        <v>5642.6801</v>
      </c>
      <c r="G382" s="11">
        <v>221763.148255668</v>
      </c>
      <c r="H382" s="17">
        <v>37185.7325122643</v>
      </c>
      <c r="I382" s="11">
        <v>6326.8328</v>
      </c>
      <c r="J382" s="11">
        <v>404909.066350413</v>
      </c>
      <c r="K382" s="17">
        <v>40650.9309202647</v>
      </c>
    </row>
    <row r="383" spans="1:11">
      <c r="A383" s="1" t="s">
        <v>7</v>
      </c>
      <c r="B383" s="1">
        <v>2091</v>
      </c>
      <c r="C383" s="10">
        <v>5349.4318</v>
      </c>
      <c r="D383" s="11">
        <v>223274.319469674</v>
      </c>
      <c r="E383" s="18">
        <v>39534.593468647</v>
      </c>
      <c r="F383" s="11">
        <v>5597.8409</v>
      </c>
      <c r="G383" s="11">
        <v>224256.48184915</v>
      </c>
      <c r="H383" s="17">
        <v>37185.7325122643</v>
      </c>
      <c r="I383" s="11">
        <v>6275.6718</v>
      </c>
      <c r="J383" s="11">
        <v>409415.168914799</v>
      </c>
      <c r="K383" s="17">
        <v>40650.9309202647</v>
      </c>
    </row>
    <row r="384" spans="1:11">
      <c r="A384" s="1" t="s">
        <v>7</v>
      </c>
      <c r="B384" s="1">
        <v>2092</v>
      </c>
      <c r="C384" s="10">
        <v>5289.398</v>
      </c>
      <c r="D384" s="11">
        <v>222647.686154232</v>
      </c>
      <c r="E384" s="18">
        <v>39534.593468647</v>
      </c>
      <c r="F384" s="11">
        <v>5554.817</v>
      </c>
      <c r="G384" s="11">
        <v>226863.627626401</v>
      </c>
      <c r="H384" s="17">
        <v>37185.7325122643</v>
      </c>
      <c r="I384" s="11">
        <v>6227.6731</v>
      </c>
      <c r="J384" s="11">
        <v>413421.458391512</v>
      </c>
      <c r="K384" s="17">
        <v>40650.9309202647</v>
      </c>
    </row>
    <row r="385" spans="1:11">
      <c r="A385" s="1" t="s">
        <v>7</v>
      </c>
      <c r="B385" s="1">
        <v>2093</v>
      </c>
      <c r="C385" s="10">
        <v>5233.1394</v>
      </c>
      <c r="D385" s="11">
        <v>221928.594754551</v>
      </c>
      <c r="E385" s="18">
        <v>39534.593468647</v>
      </c>
      <c r="F385" s="11">
        <v>5513.6999</v>
      </c>
      <c r="G385" s="11">
        <v>229496.792686107</v>
      </c>
      <c r="H385" s="17">
        <v>37185.7325122643</v>
      </c>
      <c r="I385" s="11">
        <v>6183.0176</v>
      </c>
      <c r="J385" s="11">
        <v>417180.809121522</v>
      </c>
      <c r="K385" s="17">
        <v>40650.9309202647</v>
      </c>
    </row>
    <row r="386" spans="1:11">
      <c r="A386" s="1" t="s">
        <v>7</v>
      </c>
      <c r="B386" s="1">
        <v>2094</v>
      </c>
      <c r="C386" s="10">
        <v>5180.7754</v>
      </c>
      <c r="D386" s="11">
        <v>221129.55818105</v>
      </c>
      <c r="E386" s="18">
        <v>39534.593468647</v>
      </c>
      <c r="F386" s="11">
        <v>5474.5848</v>
      </c>
      <c r="G386" s="11">
        <v>232068.184126953</v>
      </c>
      <c r="H386" s="17">
        <v>37185.7325122643</v>
      </c>
      <c r="I386" s="11">
        <v>6141.8953</v>
      </c>
      <c r="J386" s="11">
        <v>420946.095445799</v>
      </c>
      <c r="K386" s="17">
        <v>40650.9309202647</v>
      </c>
    </row>
    <row r="387" spans="1:11">
      <c r="A387" s="1" t="s">
        <v>7</v>
      </c>
      <c r="B387" s="1">
        <v>2095</v>
      </c>
      <c r="C387" s="10">
        <v>5132.4298</v>
      </c>
      <c r="D387" s="11">
        <v>220263.08934415</v>
      </c>
      <c r="E387" s="18">
        <v>39534.593468647</v>
      </c>
      <c r="F387" s="11">
        <v>5437.57</v>
      </c>
      <c r="G387" s="11">
        <v>234490.009047626</v>
      </c>
      <c r="H387" s="17">
        <v>37185.7325122643</v>
      </c>
      <c r="I387" s="11">
        <v>6104.5046</v>
      </c>
      <c r="J387" s="11">
        <v>424970.191705314</v>
      </c>
      <c r="K387" s="17">
        <v>40650.9309202647</v>
      </c>
    </row>
    <row r="388" spans="1:11">
      <c r="A388" s="1" t="s">
        <v>7</v>
      </c>
      <c r="B388" s="1">
        <v>2096</v>
      </c>
      <c r="C388" s="10">
        <v>5088.2298</v>
      </c>
      <c r="D388" s="11">
        <v>219341.701154271</v>
      </c>
      <c r="E388" s="18">
        <v>39534.593468647</v>
      </c>
      <c r="F388" s="11">
        <v>5402.7558</v>
      </c>
      <c r="G388" s="11">
        <v>236674.47454681</v>
      </c>
      <c r="H388" s="17">
        <v>37185.7325122643</v>
      </c>
      <c r="I388" s="11">
        <v>6071.0508</v>
      </c>
      <c r="J388" s="11">
        <v>429505.972241037</v>
      </c>
      <c r="K388" s="17">
        <v>40650.9309202647</v>
      </c>
    </row>
    <row r="389" spans="1:11">
      <c r="A389" s="1" t="s">
        <v>7</v>
      </c>
      <c r="B389" s="1">
        <v>2097</v>
      </c>
      <c r="C389" s="10">
        <v>5048.305</v>
      </c>
      <c r="D389" s="11">
        <v>218377.906521833</v>
      </c>
      <c r="E389" s="18">
        <v>39534.593468647</v>
      </c>
      <c r="F389" s="11">
        <v>5370.2444</v>
      </c>
      <c r="G389" s="11">
        <v>238533.787723192</v>
      </c>
      <c r="H389" s="17">
        <v>37185.7325122643</v>
      </c>
      <c r="I389" s="11">
        <v>6041.7452</v>
      </c>
      <c r="J389" s="11">
        <v>434806.311393937</v>
      </c>
      <c r="K389" s="17">
        <v>40650.9309202647</v>
      </c>
    </row>
    <row r="390" spans="1:11">
      <c r="A390" s="1" t="s">
        <v>7</v>
      </c>
      <c r="B390" s="1">
        <v>2098</v>
      </c>
      <c r="C390" s="10">
        <v>5012.7863</v>
      </c>
      <c r="D390" s="11">
        <v>217384.218357256</v>
      </c>
      <c r="E390" s="18">
        <v>39534.593468647</v>
      </c>
      <c r="F390" s="11">
        <v>5340.1392</v>
      </c>
      <c r="G390" s="11">
        <v>239980.155675458</v>
      </c>
      <c r="H390" s="17">
        <v>37185.7325122643</v>
      </c>
      <c r="I390" s="11">
        <v>6016.8033</v>
      </c>
      <c r="J390" s="11">
        <v>441124.083504986</v>
      </c>
      <c r="K390" s="17">
        <v>40650.9309202647</v>
      </c>
    </row>
    <row r="391" spans="1:11">
      <c r="A391" s="1" t="s">
        <v>7</v>
      </c>
      <c r="B391" s="1">
        <v>2099</v>
      </c>
      <c r="C391" s="10">
        <v>4981.8046</v>
      </c>
      <c r="D391" s="11">
        <v>216373.14957096</v>
      </c>
      <c r="E391" s="18">
        <v>39534.593468647</v>
      </c>
      <c r="F391" s="11">
        <v>5312.5439</v>
      </c>
      <c r="G391" s="11">
        <v>240925.785502293</v>
      </c>
      <c r="H391" s="17">
        <v>37185.7325122643</v>
      </c>
      <c r="I391" s="11">
        <v>5996.4441</v>
      </c>
      <c r="J391" s="11">
        <v>448712.162915153</v>
      </c>
      <c r="K391" s="17">
        <v>40650.9309202647</v>
      </c>
    </row>
    <row r="392" spans="1:11">
      <c r="A392" s="1" t="s">
        <v>7</v>
      </c>
      <c r="B392" s="1">
        <v>2100</v>
      </c>
      <c r="C392" s="10">
        <v>4955.4905</v>
      </c>
      <c r="D392" s="11">
        <v>215357.213073364</v>
      </c>
      <c r="E392" s="18">
        <v>39534.593468647</v>
      </c>
      <c r="F392" s="11">
        <v>5287.5627</v>
      </c>
      <c r="G392" s="11">
        <v>241282.884302384</v>
      </c>
      <c r="H392" s="17">
        <v>37185.7325122643</v>
      </c>
      <c r="I392" s="11">
        <v>5980.8886</v>
      </c>
      <c r="J392" s="11">
        <v>457823.42396541</v>
      </c>
      <c r="K392" s="17">
        <v>40650.9309202647</v>
      </c>
    </row>
    <row r="393" spans="1:11">
      <c r="A393" s="1" t="s">
        <v>17</v>
      </c>
      <c r="B393" s="1">
        <v>2023</v>
      </c>
      <c r="C393" s="10">
        <v>5923.8863</v>
      </c>
      <c r="D393" s="11">
        <v>67674.1340055564</v>
      </c>
      <c r="E393" s="16">
        <v>12714.5053851128</v>
      </c>
      <c r="F393" s="11">
        <v>6010.0877</v>
      </c>
      <c r="G393" s="11">
        <v>68275.410026429</v>
      </c>
      <c r="H393" s="17">
        <v>12343.52</v>
      </c>
      <c r="I393" s="11">
        <v>6019.5559</v>
      </c>
      <c r="J393" s="11">
        <v>69688.6939321942</v>
      </c>
      <c r="K393" s="17">
        <v>12732.4553851128</v>
      </c>
    </row>
    <row r="394" spans="1:11">
      <c r="A394" s="1" t="s">
        <v>17</v>
      </c>
      <c r="B394" s="1">
        <v>2024</v>
      </c>
      <c r="C394" s="10">
        <v>5948.2719</v>
      </c>
      <c r="D394" s="11">
        <v>70705.2817542418</v>
      </c>
      <c r="E394" s="3">
        <f>(E393+E395)/2</f>
        <v>13257.8595349312</v>
      </c>
      <c r="F394" s="11">
        <v>6042.8863</v>
      </c>
      <c r="G394" s="11">
        <v>71244.8828619709</v>
      </c>
      <c r="H394" s="4">
        <f>(H393+H395)/2</f>
        <v>12765.57</v>
      </c>
      <c r="I394" s="11">
        <v>6064.9117</v>
      </c>
      <c r="J394" s="11">
        <v>72133.3599678781</v>
      </c>
      <c r="K394" s="4">
        <f>(K393+K395)/2</f>
        <v>13302.7770589685</v>
      </c>
    </row>
    <row r="395" spans="1:11">
      <c r="A395" s="1" t="s">
        <v>17</v>
      </c>
      <c r="B395" s="1">
        <v>2025</v>
      </c>
      <c r="C395" s="10">
        <v>5971.8553</v>
      </c>
      <c r="D395" s="11">
        <v>74483.5628197204</v>
      </c>
      <c r="E395" s="16">
        <v>13801.2136847496</v>
      </c>
      <c r="F395" s="11">
        <v>6073.8622</v>
      </c>
      <c r="G395" s="11">
        <v>74942.5028281507</v>
      </c>
      <c r="H395" s="17">
        <v>13187.62</v>
      </c>
      <c r="I395" s="11">
        <v>6112.1365</v>
      </c>
      <c r="J395" s="11">
        <v>75470.3217370064</v>
      </c>
      <c r="K395" s="17">
        <v>13873.0987328243</v>
      </c>
    </row>
    <row r="396" spans="1:11">
      <c r="A396" s="1" t="s">
        <v>17</v>
      </c>
      <c r="B396" s="1">
        <v>2026</v>
      </c>
      <c r="C396" s="10">
        <v>5994.9612</v>
      </c>
      <c r="D396" s="11">
        <v>79236.2746776929</v>
      </c>
      <c r="E396" s="3">
        <f t="shared" ref="E396:E399" si="73">E395*(1+0.158)</f>
        <v>15981.80544694</v>
      </c>
      <c r="F396" s="11">
        <v>6103.3435</v>
      </c>
      <c r="G396" s="11">
        <v>79615.8870580619</v>
      </c>
      <c r="H396" s="4">
        <f t="shared" ref="H396:H399" si="74">H395*(1+M$395)</f>
        <v>13187.62</v>
      </c>
      <c r="I396" s="11">
        <v>6161.6494</v>
      </c>
      <c r="J396" s="11">
        <v>80031.7686143764</v>
      </c>
      <c r="K396" s="4">
        <f t="shared" ref="K396:K399" si="75">K395*(1+N$395)</f>
        <v>13873.0987328243</v>
      </c>
    </row>
    <row r="397" spans="1:11">
      <c r="A397" s="1" t="s">
        <v>17</v>
      </c>
      <c r="B397" s="1">
        <v>2027</v>
      </c>
      <c r="C397" s="10">
        <v>6017.5853</v>
      </c>
      <c r="D397" s="11">
        <v>84718.1372127969</v>
      </c>
      <c r="E397" s="3">
        <f t="shared" si="73"/>
        <v>18506.9307075566</v>
      </c>
      <c r="F397" s="11">
        <v>6131.4379</v>
      </c>
      <c r="G397" s="11">
        <v>85028.6438246805</v>
      </c>
      <c r="H397" s="4">
        <f t="shared" si="74"/>
        <v>13187.62</v>
      </c>
      <c r="I397" s="11">
        <v>6212.9052</v>
      </c>
      <c r="J397" s="11">
        <v>85554.2543556481</v>
      </c>
      <c r="K397" s="4">
        <f t="shared" si="75"/>
        <v>13873.0987328243</v>
      </c>
    </row>
    <row r="398" spans="1:11">
      <c r="A398" s="1" t="s">
        <v>17</v>
      </c>
      <c r="B398" s="1">
        <v>2028</v>
      </c>
      <c r="C398" s="10">
        <v>6039.6396</v>
      </c>
      <c r="D398" s="11">
        <v>90565.7259119045</v>
      </c>
      <c r="E398" s="3">
        <f t="shared" si="73"/>
        <v>21431.0257593505</v>
      </c>
      <c r="F398" s="11">
        <v>6158.1984</v>
      </c>
      <c r="G398" s="11">
        <v>90823.3791859529</v>
      </c>
      <c r="H398" s="4">
        <f t="shared" si="74"/>
        <v>13187.62</v>
      </c>
      <c r="I398" s="11">
        <v>6265.1163</v>
      </c>
      <c r="J398" s="11">
        <v>91625.4238116971</v>
      </c>
      <c r="K398" s="4">
        <f t="shared" si="75"/>
        <v>13873.0987328243</v>
      </c>
    </row>
    <row r="399" spans="1:11">
      <c r="A399" s="1" t="s">
        <v>17</v>
      </c>
      <c r="B399" s="1">
        <v>2029</v>
      </c>
      <c r="C399" s="10">
        <v>6061.0343</v>
      </c>
      <c r="D399" s="11">
        <v>96415.6162618878</v>
      </c>
      <c r="E399" s="3">
        <f t="shared" si="73"/>
        <v>24817.1278293279</v>
      </c>
      <c r="F399" s="11">
        <v>6183.6791</v>
      </c>
      <c r="G399" s="11">
        <v>96642.6991998256</v>
      </c>
      <c r="H399" s="4">
        <f t="shared" si="74"/>
        <v>13187.62</v>
      </c>
      <c r="I399" s="11">
        <v>6317.4918</v>
      </c>
      <c r="J399" s="11">
        <v>97832.9218333988</v>
      </c>
      <c r="K399" s="4">
        <f t="shared" si="75"/>
        <v>13873.0987328243</v>
      </c>
    </row>
    <row r="400" spans="1:11">
      <c r="A400" s="1" t="s">
        <v>17</v>
      </c>
      <c r="B400" s="1">
        <v>2030</v>
      </c>
      <c r="C400" s="10">
        <v>6081.6776</v>
      </c>
      <c r="D400" s="11">
        <v>101904.383749619</v>
      </c>
      <c r="E400" s="18">
        <v>14927.2136847496</v>
      </c>
      <c r="F400" s="11">
        <v>6207.9348</v>
      </c>
      <c r="G400" s="11">
        <v>102129.209924245</v>
      </c>
      <c r="H400" s="17">
        <v>14067.72</v>
      </c>
      <c r="I400" s="11">
        <v>6369.237</v>
      </c>
      <c r="J400" s="11">
        <v>103764.393271629</v>
      </c>
      <c r="K400" s="17">
        <v>15053.2487328243</v>
      </c>
    </row>
    <row r="401" spans="1:11">
      <c r="A401" s="1" t="s">
        <v>17</v>
      </c>
      <c r="B401" s="1">
        <v>2031</v>
      </c>
      <c r="C401" s="10">
        <v>6101.4894</v>
      </c>
      <c r="D401" s="11">
        <v>106750.280874546</v>
      </c>
      <c r="E401" s="3">
        <f t="shared" ref="E401:E404" si="76">E400*(1+0.00935)</f>
        <v>15066.783132702</v>
      </c>
      <c r="F401" s="11">
        <v>6231.0336</v>
      </c>
      <c r="G401" s="11">
        <v>107002.799766901</v>
      </c>
      <c r="H401" s="4">
        <f t="shared" ref="H401:H404" si="77">H400*(1+M$400)</f>
        <v>14067.72</v>
      </c>
      <c r="I401" s="11">
        <v>6419.71</v>
      </c>
      <c r="J401" s="11">
        <v>109092.246229998</v>
      </c>
      <c r="K401" s="4">
        <f t="shared" ref="K401:K404" si="78">K400*(1+N$400)</f>
        <v>15053.2487328243</v>
      </c>
    </row>
    <row r="402" spans="1:11">
      <c r="A402" s="1" t="s">
        <v>17</v>
      </c>
      <c r="B402" s="1">
        <v>2032</v>
      </c>
      <c r="C402" s="10">
        <v>6120.4444</v>
      </c>
      <c r="D402" s="11">
        <v>110998.268186422</v>
      </c>
      <c r="E402" s="3">
        <f t="shared" si="76"/>
        <v>15207.6575549928</v>
      </c>
      <c r="F402" s="11">
        <v>6253.0926</v>
      </c>
      <c r="G402" s="11">
        <v>111292.486534451</v>
      </c>
      <c r="H402" s="4">
        <f t="shared" si="77"/>
        <v>14067.72</v>
      </c>
      <c r="I402" s="11">
        <v>6468.8992</v>
      </c>
      <c r="J402" s="11">
        <v>113827.941823051</v>
      </c>
      <c r="K402" s="4">
        <f t="shared" si="78"/>
        <v>15053.2487328243</v>
      </c>
    </row>
    <row r="403" spans="1:11">
      <c r="A403" s="1" t="s">
        <v>17</v>
      </c>
      <c r="B403" s="1">
        <v>2033</v>
      </c>
      <c r="C403" s="10">
        <v>6138.5313</v>
      </c>
      <c r="D403" s="11">
        <v>114774.983247576</v>
      </c>
      <c r="E403" s="3">
        <f t="shared" si="76"/>
        <v>15349.849153132</v>
      </c>
      <c r="F403" s="11">
        <v>6274.2417</v>
      </c>
      <c r="G403" s="11">
        <v>115104.570383299</v>
      </c>
      <c r="H403" s="4">
        <f t="shared" si="77"/>
        <v>14067.72</v>
      </c>
      <c r="I403" s="11">
        <v>6516.9503</v>
      </c>
      <c r="J403" s="11">
        <v>118067.704418071</v>
      </c>
      <c r="K403" s="4">
        <f t="shared" si="78"/>
        <v>15053.2487328243</v>
      </c>
    </row>
    <row r="404" spans="1:11">
      <c r="A404" s="1" t="s">
        <v>17</v>
      </c>
      <c r="B404" s="1">
        <v>2034</v>
      </c>
      <c r="C404" s="10">
        <v>6155.7382</v>
      </c>
      <c r="D404" s="11">
        <v>118207.063620339</v>
      </c>
      <c r="E404" s="3">
        <f t="shared" si="76"/>
        <v>15493.3702427137</v>
      </c>
      <c r="F404" s="11">
        <v>6294.6117</v>
      </c>
      <c r="G404" s="11">
        <v>118545.351469846</v>
      </c>
      <c r="H404" s="4">
        <f t="shared" si="77"/>
        <v>14067.72</v>
      </c>
      <c r="I404" s="11">
        <v>6564.0086</v>
      </c>
      <c r="J404" s="11">
        <v>121907.758382337</v>
      </c>
      <c r="K404" s="4">
        <f t="shared" si="78"/>
        <v>15053.2487328243</v>
      </c>
    </row>
    <row r="405" spans="1:11">
      <c r="A405" s="1" t="s">
        <v>17</v>
      </c>
      <c r="B405" s="1">
        <v>2035</v>
      </c>
      <c r="C405" s="10">
        <v>6172.0531</v>
      </c>
      <c r="D405" s="11">
        <v>121421.146867039</v>
      </c>
      <c r="E405" s="18">
        <v>15638.4036847496</v>
      </c>
      <c r="F405" s="11">
        <v>6314.3342</v>
      </c>
      <c r="G405" s="11">
        <v>121721.129950494</v>
      </c>
      <c r="H405" s="17">
        <v>14662.64</v>
      </c>
      <c r="I405" s="11">
        <v>6610.219</v>
      </c>
      <c r="J405" s="11">
        <v>125444.328083132</v>
      </c>
      <c r="K405" s="17">
        <v>15832.2487328243</v>
      </c>
    </row>
    <row r="406" spans="1:11">
      <c r="A406" s="1" t="s">
        <v>17</v>
      </c>
      <c r="B406" s="1">
        <v>2036</v>
      </c>
      <c r="C406" s="10">
        <v>6187.4521</v>
      </c>
      <c r="D406" s="11">
        <v>124528.777634315</v>
      </c>
      <c r="E406" s="3">
        <f t="shared" ref="E406:E409" si="79">E405*(1+0.00891)</f>
        <v>15777.7418615807</v>
      </c>
      <c r="F406" s="11">
        <v>6333.4952</v>
      </c>
      <c r="G406" s="11">
        <v>124727.378316151</v>
      </c>
      <c r="H406" s="4">
        <f t="shared" ref="H406:H409" si="80">H405*(1+M$405)</f>
        <v>14662.64</v>
      </c>
      <c r="I406" s="11">
        <v>6655.6771</v>
      </c>
      <c r="J406" s="11">
        <v>128785.988608732</v>
      </c>
      <c r="K406" s="4">
        <f t="shared" ref="K406:K409" si="81">K405*(1+N$405)</f>
        <v>15832.2487328243</v>
      </c>
    </row>
    <row r="407" spans="1:11">
      <c r="A407" s="1" t="s">
        <v>17</v>
      </c>
      <c r="B407" s="1">
        <v>2037</v>
      </c>
      <c r="C407" s="10">
        <v>6201.8631</v>
      </c>
      <c r="D407" s="11">
        <v>127581.128906046</v>
      </c>
      <c r="E407" s="3">
        <f t="shared" si="79"/>
        <v>15918.3215415674</v>
      </c>
      <c r="F407" s="11">
        <v>6351.9969</v>
      </c>
      <c r="G407" s="11">
        <v>127616.258395754</v>
      </c>
      <c r="H407" s="4">
        <f t="shared" si="80"/>
        <v>14662.64</v>
      </c>
      <c r="I407" s="11">
        <v>6700.2816</v>
      </c>
      <c r="J407" s="11">
        <v>132090.717931405</v>
      </c>
      <c r="K407" s="4">
        <f t="shared" si="81"/>
        <v>15832.2487328243</v>
      </c>
    </row>
    <row r="408" spans="1:11">
      <c r="A408" s="1" t="s">
        <v>17</v>
      </c>
      <c r="B408" s="1">
        <v>2038</v>
      </c>
      <c r="C408" s="10">
        <v>6215.202</v>
      </c>
      <c r="D408" s="11">
        <v>130614.280750418</v>
      </c>
      <c r="E408" s="3">
        <f t="shared" si="79"/>
        <v>16060.1537865028</v>
      </c>
      <c r="F408" s="11">
        <v>6369.6948</v>
      </c>
      <c r="G408" s="11">
        <v>130429.104352747</v>
      </c>
      <c r="H408" s="4">
        <f t="shared" si="80"/>
        <v>14662.64</v>
      </c>
      <c r="I408" s="11">
        <v>6743.8814</v>
      </c>
      <c r="J408" s="11">
        <v>135528.844744413</v>
      </c>
      <c r="K408" s="4">
        <f t="shared" si="81"/>
        <v>15832.2487328243</v>
      </c>
    </row>
    <row r="409" spans="1:11">
      <c r="A409" s="1" t="s">
        <v>17</v>
      </c>
      <c r="B409" s="1">
        <v>2039</v>
      </c>
      <c r="C409" s="10">
        <v>6227.3844</v>
      </c>
      <c r="D409" s="11">
        <v>133664.313235621</v>
      </c>
      <c r="E409" s="3">
        <f t="shared" si="79"/>
        <v>16203.2497567405</v>
      </c>
      <c r="F409" s="11">
        <v>6386.4437</v>
      </c>
      <c r="G409" s="11">
        <v>133207.250350572</v>
      </c>
      <c r="H409" s="4">
        <f t="shared" si="80"/>
        <v>14662.64</v>
      </c>
      <c r="I409" s="11">
        <v>6786.3246</v>
      </c>
      <c r="J409" s="11">
        <v>139270.697741019</v>
      </c>
      <c r="K409" s="4">
        <f t="shared" si="81"/>
        <v>15832.2487328243</v>
      </c>
    </row>
    <row r="410" spans="1:11">
      <c r="A410" s="1" t="s">
        <v>17</v>
      </c>
      <c r="B410" s="1">
        <v>2040</v>
      </c>
      <c r="C410" s="10">
        <v>6238.3254</v>
      </c>
      <c r="D410" s="11">
        <v>136767.306429842</v>
      </c>
      <c r="E410" s="18">
        <v>16347.8336847496</v>
      </c>
      <c r="F410" s="11">
        <v>6402.0975</v>
      </c>
      <c r="G410" s="11">
        <v>135992.030552673</v>
      </c>
      <c r="H410" s="17">
        <v>15254.1757736683</v>
      </c>
      <c r="I410" s="11">
        <v>6827.4584</v>
      </c>
      <c r="J410" s="11">
        <v>143486.605614487</v>
      </c>
      <c r="K410" s="17">
        <v>16604.0187328243</v>
      </c>
    </row>
    <row r="411" spans="1:11">
      <c r="A411" s="1" t="s">
        <v>17</v>
      </c>
      <c r="B411" s="1">
        <v>2041</v>
      </c>
      <c r="C411" s="10">
        <v>6247.9327</v>
      </c>
      <c r="D411" s="11">
        <v>139951.675979896</v>
      </c>
      <c r="E411" s="3">
        <f t="shared" ref="E411:E414" si="82">E410*(1+0.00365)</f>
        <v>16407.5032776989</v>
      </c>
      <c r="F411" s="11">
        <v>6416.5194</v>
      </c>
      <c r="G411" s="11">
        <v>138808.635829137</v>
      </c>
      <c r="H411" s="4">
        <f t="shared" ref="H411:H414" si="83">H410*(1+M$410)</f>
        <v>15254.1757736683</v>
      </c>
      <c r="I411" s="11">
        <v>6867.1367</v>
      </c>
      <c r="J411" s="11">
        <v>148288.044356651</v>
      </c>
      <c r="K411" s="4">
        <f t="shared" ref="K411:K414" si="84">K410*(1+N$410)</f>
        <v>16604.0187328243</v>
      </c>
    </row>
    <row r="412" spans="1:11">
      <c r="A412" s="1" t="s">
        <v>17</v>
      </c>
      <c r="B412" s="1">
        <v>2042</v>
      </c>
      <c r="C412" s="10">
        <v>6256.0847</v>
      </c>
      <c r="D412" s="11">
        <v>143215.179847114</v>
      </c>
      <c r="E412" s="3">
        <f t="shared" si="82"/>
        <v>16467.3906646625</v>
      </c>
      <c r="F412" s="11">
        <v>6429.6109</v>
      </c>
      <c r="G412" s="11">
        <v>141617.683876627</v>
      </c>
      <c r="H412" s="4">
        <f t="shared" si="83"/>
        <v>15254.1757736683</v>
      </c>
      <c r="I412" s="11">
        <v>6905.2431</v>
      </c>
      <c r="J412" s="11">
        <v>153551.079153626</v>
      </c>
      <c r="K412" s="4">
        <f t="shared" si="84"/>
        <v>16604.0187328243</v>
      </c>
    </row>
    <row r="413" spans="1:11">
      <c r="A413" s="1" t="s">
        <v>17</v>
      </c>
      <c r="B413" s="1">
        <v>2043</v>
      </c>
      <c r="C413" s="10">
        <v>6262.6516</v>
      </c>
      <c r="D413" s="11">
        <v>146547.911571453</v>
      </c>
      <c r="E413" s="3">
        <f t="shared" si="82"/>
        <v>16527.4966405886</v>
      </c>
      <c r="F413" s="11">
        <v>6441.2821</v>
      </c>
      <c r="G413" s="11">
        <v>144363.649098452</v>
      </c>
      <c r="H413" s="4">
        <f t="shared" si="83"/>
        <v>15254.1757736683</v>
      </c>
      <c r="I413" s="11">
        <v>6941.6678</v>
      </c>
      <c r="J413" s="11">
        <v>159092.922490101</v>
      </c>
      <c r="K413" s="4">
        <f t="shared" si="84"/>
        <v>16604.0187328243</v>
      </c>
    </row>
    <row r="414" spans="1:11">
      <c r="A414" s="1" t="s">
        <v>17</v>
      </c>
      <c r="B414" s="1">
        <v>2044</v>
      </c>
      <c r="C414" s="10">
        <v>6267.5033</v>
      </c>
      <c r="D414" s="11">
        <v>149939.964692872</v>
      </c>
      <c r="E414" s="3">
        <f t="shared" si="82"/>
        <v>16587.8220033267</v>
      </c>
      <c r="F414" s="11">
        <v>6451.4421</v>
      </c>
      <c r="G414" s="11">
        <v>146991.005897918</v>
      </c>
      <c r="H414" s="4">
        <f t="shared" si="83"/>
        <v>15254.1757736683</v>
      </c>
      <c r="I414" s="11">
        <v>6976.2992</v>
      </c>
      <c r="J414" s="11">
        <v>164730.786850761</v>
      </c>
      <c r="K414" s="4">
        <f t="shared" si="84"/>
        <v>16604.0187328243</v>
      </c>
    </row>
    <row r="415" spans="1:11">
      <c r="A415" s="1" t="s">
        <v>17</v>
      </c>
      <c r="B415" s="1">
        <v>2045</v>
      </c>
      <c r="C415" s="10">
        <v>6270.5089</v>
      </c>
      <c r="D415" s="11">
        <v>153381.432751328</v>
      </c>
      <c r="E415" s="18">
        <v>16648.4936847496</v>
      </c>
      <c r="F415" s="11">
        <v>6459.9985</v>
      </c>
      <c r="G415" s="11">
        <v>149444.228678333</v>
      </c>
      <c r="H415" s="17">
        <v>15594.1357736683</v>
      </c>
      <c r="I415" s="11">
        <v>7009.0244</v>
      </c>
      <c r="J415" s="11">
        <v>170281.884720294</v>
      </c>
      <c r="K415" s="17">
        <v>17019.8287328243</v>
      </c>
    </row>
    <row r="416" spans="1:11">
      <c r="A416" s="1" t="s">
        <v>17</v>
      </c>
      <c r="B416" s="1">
        <v>2046</v>
      </c>
      <c r="C416" s="10">
        <v>6271.5767</v>
      </c>
      <c r="D416" s="11">
        <v>156851.500866219</v>
      </c>
      <c r="E416" s="3">
        <f t="shared" ref="E416:E419" si="85">E415*(1+$L$415)</f>
        <v>16648.4936847496</v>
      </c>
      <c r="F416" s="11">
        <v>6466.8699</v>
      </c>
      <c r="G416" s="11">
        <v>151680.323175674</v>
      </c>
      <c r="H416" s="4">
        <f t="shared" ref="H416:H419" si="86">H415*(1+M$415)</f>
        <v>15594.1357736683</v>
      </c>
      <c r="I416" s="11">
        <v>7039.7686</v>
      </c>
      <c r="J416" s="11">
        <v>175605.372654062</v>
      </c>
      <c r="K416" s="4">
        <f t="shared" ref="K416:K419" si="87">K415*(1+N$415)</f>
        <v>17019.8287328243</v>
      </c>
    </row>
    <row r="417" spans="1:11">
      <c r="A417" s="1" t="s">
        <v>17</v>
      </c>
      <c r="B417" s="1">
        <v>2047</v>
      </c>
      <c r="C417" s="10">
        <v>6270.7733</v>
      </c>
      <c r="D417" s="11">
        <v>160285.720474694</v>
      </c>
      <c r="E417" s="3">
        <f t="shared" si="85"/>
        <v>16648.4936847496</v>
      </c>
      <c r="F417" s="11">
        <v>6472.021</v>
      </c>
      <c r="G417" s="11">
        <v>153706.420456592</v>
      </c>
      <c r="H417" s="4">
        <f t="shared" si="86"/>
        <v>15594.1357736683</v>
      </c>
      <c r="I417" s="11">
        <v>7068.6149</v>
      </c>
      <c r="J417" s="11">
        <v>180728.183490122</v>
      </c>
      <c r="K417" s="4">
        <f t="shared" si="87"/>
        <v>17019.8287328243</v>
      </c>
    </row>
    <row r="418" spans="1:11">
      <c r="A418" s="1" t="s">
        <v>17</v>
      </c>
      <c r="B418" s="1">
        <v>2048</v>
      </c>
      <c r="C418" s="10">
        <v>6268.2062</v>
      </c>
      <c r="D418" s="11">
        <v>163608.734593341</v>
      </c>
      <c r="E418" s="3">
        <f t="shared" si="85"/>
        <v>16648.4936847496</v>
      </c>
      <c r="F418" s="11">
        <v>6475.4294</v>
      </c>
      <c r="G418" s="11">
        <v>155542.18292041</v>
      </c>
      <c r="H418" s="4">
        <f t="shared" si="86"/>
        <v>15594.1357736683</v>
      </c>
      <c r="I418" s="11">
        <v>7095.6887</v>
      </c>
      <c r="J418" s="11">
        <v>185719.194137208</v>
      </c>
      <c r="K418" s="4">
        <f t="shared" si="87"/>
        <v>17019.8287328243</v>
      </c>
    </row>
    <row r="419" spans="1:11">
      <c r="A419" s="1" t="s">
        <v>17</v>
      </c>
      <c r="B419" s="1">
        <v>2049</v>
      </c>
      <c r="C419" s="10">
        <v>6263.984</v>
      </c>
      <c r="D419" s="11">
        <v>166745.186238749</v>
      </c>
      <c r="E419" s="3">
        <f t="shared" si="85"/>
        <v>16648.4936847496</v>
      </c>
      <c r="F419" s="11">
        <v>6477.0744</v>
      </c>
      <c r="G419" s="11">
        <v>157207.272966451</v>
      </c>
      <c r="H419" s="4">
        <f t="shared" si="86"/>
        <v>15594.1357736683</v>
      </c>
      <c r="I419" s="11">
        <v>7121.1188</v>
      </c>
      <c r="J419" s="11">
        <v>190647.281504051</v>
      </c>
      <c r="K419" s="4">
        <f t="shared" si="87"/>
        <v>17019.8287328243</v>
      </c>
    </row>
    <row r="420" spans="1:11">
      <c r="A420" s="1" t="s">
        <v>17</v>
      </c>
      <c r="B420" s="1">
        <v>2050</v>
      </c>
      <c r="C420" s="10">
        <v>6258.2166</v>
      </c>
      <c r="D420" s="11">
        <v>169619.718427505</v>
      </c>
      <c r="E420" s="18">
        <v>16945.6136847496</v>
      </c>
      <c r="F420" s="11">
        <v>6476.9365</v>
      </c>
      <c r="G420" s="11">
        <v>158721.352994034</v>
      </c>
      <c r="H420" s="17">
        <v>15930.4157736683</v>
      </c>
      <c r="I420" s="11">
        <v>7145.0372</v>
      </c>
      <c r="J420" s="11">
        <v>195581.322499385</v>
      </c>
      <c r="K420" s="17">
        <v>17427.3487328243</v>
      </c>
    </row>
    <row r="421" spans="1:11">
      <c r="A421" s="1" t="s">
        <v>17</v>
      </c>
      <c r="B421" s="1">
        <v>2051</v>
      </c>
      <c r="C421" s="10">
        <v>6250.9982</v>
      </c>
      <c r="D421" s="11">
        <v>172178.709240754</v>
      </c>
      <c r="E421" s="18">
        <v>16946.6136847496</v>
      </c>
      <c r="F421" s="11">
        <v>6475.0177</v>
      </c>
      <c r="G421" s="11">
        <v>160107.669436389</v>
      </c>
      <c r="H421" s="17">
        <v>15931.4157736683</v>
      </c>
      <c r="I421" s="11">
        <v>7167.561</v>
      </c>
      <c r="J421" s="11">
        <v>200555.948956752</v>
      </c>
      <c r="K421" s="17">
        <v>17428.3487328243</v>
      </c>
    </row>
    <row r="422" spans="1:11">
      <c r="A422" s="1" t="s">
        <v>17</v>
      </c>
      <c r="B422" s="1">
        <v>2052</v>
      </c>
      <c r="C422" s="10">
        <v>6242.3568</v>
      </c>
      <c r="D422" s="11">
        <v>174455.477017859</v>
      </c>
      <c r="E422" s="18">
        <v>16947.6136847496</v>
      </c>
      <c r="F422" s="11">
        <v>6471.4015</v>
      </c>
      <c r="G422" s="11">
        <v>161403.804862368</v>
      </c>
      <c r="H422" s="17">
        <v>15932.4157736683</v>
      </c>
      <c r="I422" s="11">
        <v>7188.7379</v>
      </c>
      <c r="J422" s="11">
        <v>205468.812408939</v>
      </c>
      <c r="K422" s="17">
        <v>17429.3487328243</v>
      </c>
    </row>
    <row r="423" spans="1:11">
      <c r="A423" s="1" t="s">
        <v>17</v>
      </c>
      <c r="B423" s="1">
        <v>2053</v>
      </c>
      <c r="C423" s="10">
        <v>6232.3054</v>
      </c>
      <c r="D423" s="11">
        <v>176505.075162741</v>
      </c>
      <c r="E423" s="18">
        <v>16948.6136847496</v>
      </c>
      <c r="F423" s="11">
        <v>6466.1918</v>
      </c>
      <c r="G423" s="11">
        <v>162650.925874729</v>
      </c>
      <c r="H423" s="17">
        <v>15933.4157736683</v>
      </c>
      <c r="I423" s="11">
        <v>7208.6033</v>
      </c>
      <c r="J423" s="11">
        <v>210183.319313542</v>
      </c>
      <c r="K423" s="17">
        <v>17430.3487328243</v>
      </c>
    </row>
    <row r="424" spans="1:11">
      <c r="A424" s="1" t="s">
        <v>17</v>
      </c>
      <c r="B424" s="1">
        <v>2054</v>
      </c>
      <c r="C424" s="10">
        <v>6220.8594</v>
      </c>
      <c r="D424" s="11">
        <v>178382.557079319</v>
      </c>
      <c r="E424" s="18">
        <v>16949.6136847496</v>
      </c>
      <c r="F424" s="11">
        <v>6459.4933</v>
      </c>
      <c r="G424" s="11">
        <v>163890.199076231</v>
      </c>
      <c r="H424" s="17">
        <v>15934.4157736683</v>
      </c>
      <c r="I424" s="11">
        <v>7227.1995</v>
      </c>
      <c r="J424" s="11">
        <v>214562.876128157</v>
      </c>
      <c r="K424" s="17">
        <v>17431.3487328243</v>
      </c>
    </row>
    <row r="425" spans="1:11">
      <c r="A425" s="1" t="s">
        <v>17</v>
      </c>
      <c r="B425" s="1">
        <v>2055</v>
      </c>
      <c r="C425" s="10">
        <v>6208.0367</v>
      </c>
      <c r="D425" s="11">
        <v>180142.976171514</v>
      </c>
      <c r="E425" s="18">
        <v>16945.6136847496</v>
      </c>
      <c r="F425" s="11">
        <v>6451.4107</v>
      </c>
      <c r="G425" s="11">
        <v>165162.791069632</v>
      </c>
      <c r="H425" s="17">
        <v>15930.4157736683</v>
      </c>
      <c r="I425" s="11">
        <v>7244.5757</v>
      </c>
      <c r="J425" s="11">
        <v>218470.889310381</v>
      </c>
      <c r="K425" s="17">
        <v>17427.3487328243</v>
      </c>
    </row>
    <row r="426" spans="1:11">
      <c r="A426" s="1" t="s">
        <v>17</v>
      </c>
      <c r="B426" s="1">
        <v>2056</v>
      </c>
      <c r="C426" s="10">
        <v>6193.847</v>
      </c>
      <c r="D426" s="11">
        <v>181831.688237867</v>
      </c>
      <c r="E426" s="18">
        <v>16946.6136847496</v>
      </c>
      <c r="F426" s="11">
        <v>6442.0558</v>
      </c>
      <c r="G426" s="11">
        <v>166492.51894594</v>
      </c>
      <c r="H426" s="17">
        <v>15931.4157736683</v>
      </c>
      <c r="I426" s="11">
        <v>7260.7752</v>
      </c>
      <c r="J426" s="11">
        <v>221827.832778092</v>
      </c>
      <c r="K426" s="17">
        <v>17427.3487328243</v>
      </c>
    </row>
    <row r="427" spans="1:11">
      <c r="A427" s="1" t="s">
        <v>17</v>
      </c>
      <c r="B427" s="1">
        <v>2057</v>
      </c>
      <c r="C427" s="10">
        <v>6178.2614</v>
      </c>
      <c r="D427" s="11">
        <v>183455.258655412</v>
      </c>
      <c r="E427" s="18">
        <v>16947.6136847496</v>
      </c>
      <c r="F427" s="11">
        <v>6431.5671</v>
      </c>
      <c r="G427" s="11">
        <v>167833.80174916</v>
      </c>
      <c r="H427" s="17">
        <v>15932.4157736683</v>
      </c>
      <c r="I427" s="11">
        <v>7275.7949</v>
      </c>
      <c r="J427" s="11">
        <v>224782.4502903</v>
      </c>
      <c r="K427" s="17">
        <v>17427.3487328243</v>
      </c>
    </row>
    <row r="428" spans="1:11">
      <c r="A428" s="1" t="s">
        <v>17</v>
      </c>
      <c r="B428" s="1">
        <v>2058</v>
      </c>
      <c r="C428" s="10">
        <v>6161.2413</v>
      </c>
      <c r="D428" s="11">
        <v>185010.555195805</v>
      </c>
      <c r="E428" s="18">
        <v>16948.6136847496</v>
      </c>
      <c r="F428" s="11">
        <v>6420.089</v>
      </c>
      <c r="G428" s="11">
        <v>169123.709011548</v>
      </c>
      <c r="H428" s="17">
        <v>15933.4157736683</v>
      </c>
      <c r="I428" s="11">
        <v>7289.623</v>
      </c>
      <c r="J428" s="11">
        <v>227540.553066296</v>
      </c>
      <c r="K428" s="17">
        <v>17427.3487328243</v>
      </c>
    </row>
    <row r="429" spans="1:11">
      <c r="A429" s="1" t="s">
        <v>17</v>
      </c>
      <c r="B429" s="1">
        <v>2059</v>
      </c>
      <c r="C429" s="10">
        <v>6142.7487</v>
      </c>
      <c r="D429" s="11">
        <v>186494.445630703</v>
      </c>
      <c r="E429" s="18">
        <v>16949.6136847496</v>
      </c>
      <c r="F429" s="11">
        <v>6407.7655</v>
      </c>
      <c r="G429" s="11">
        <v>170299.310265357</v>
      </c>
      <c r="H429" s="17">
        <v>15934.4157736683</v>
      </c>
      <c r="I429" s="11">
        <v>7302.2518</v>
      </c>
      <c r="J429" s="11">
        <v>230307.95232537</v>
      </c>
      <c r="K429" s="17">
        <v>17427.3487328243</v>
      </c>
    </row>
    <row r="430" spans="1:11">
      <c r="A430" s="1" t="s">
        <v>17</v>
      </c>
      <c r="B430" s="1">
        <v>2060</v>
      </c>
      <c r="C430" s="10">
        <v>6122.7459</v>
      </c>
      <c r="D430" s="11">
        <v>187903.79773176</v>
      </c>
      <c r="E430" s="18">
        <v>16945.6136847496</v>
      </c>
      <c r="F430" s="11">
        <v>6394.7399</v>
      </c>
      <c r="G430" s="11">
        <v>171297.675042843</v>
      </c>
      <c r="H430" s="17">
        <v>15930.4157736683</v>
      </c>
      <c r="I430" s="11">
        <v>7313.6778</v>
      </c>
      <c r="J430" s="11">
        <v>233290.459286816</v>
      </c>
      <c r="K430" s="17">
        <v>17427.3487328243</v>
      </c>
    </row>
    <row r="431" spans="1:11">
      <c r="A431" s="1" t="s">
        <v>17</v>
      </c>
      <c r="B431" s="1">
        <v>2061</v>
      </c>
      <c r="C431" s="10">
        <v>6101.2416</v>
      </c>
      <c r="D431" s="11">
        <v>189243.418069309</v>
      </c>
      <c r="E431" s="18">
        <v>16945.6136847496</v>
      </c>
      <c r="F431" s="11">
        <v>6381.1816</v>
      </c>
      <c r="G431" s="11">
        <v>172097.716670247</v>
      </c>
      <c r="H431" s="17">
        <v>15930.4157736683</v>
      </c>
      <c r="I431" s="11">
        <v>7323.9346</v>
      </c>
      <c r="J431" s="11">
        <v>236659.524782178</v>
      </c>
      <c r="K431" s="17">
        <v>17427.3487328243</v>
      </c>
    </row>
    <row r="432" spans="1:11">
      <c r="A432" s="1" t="s">
        <v>17</v>
      </c>
      <c r="B432" s="1">
        <v>2062</v>
      </c>
      <c r="C432" s="10">
        <v>6078.429</v>
      </c>
      <c r="D432" s="11">
        <v>190549.868408377</v>
      </c>
      <c r="E432" s="18">
        <v>16945.6136847496</v>
      </c>
      <c r="F432" s="11">
        <v>6367.3697</v>
      </c>
      <c r="G432" s="11">
        <v>172845.723649758</v>
      </c>
      <c r="H432" s="17">
        <v>15930.4157736683</v>
      </c>
      <c r="I432" s="11">
        <v>7333.1863</v>
      </c>
      <c r="J432" s="11">
        <v>240449.158092018</v>
      </c>
      <c r="K432" s="17">
        <v>17427.3487328243</v>
      </c>
    </row>
    <row r="433" spans="1:11">
      <c r="A433" s="1" t="s">
        <v>17</v>
      </c>
      <c r="B433" s="1">
        <v>2063</v>
      </c>
      <c r="C433" s="10">
        <v>6054.5454</v>
      </c>
      <c r="D433" s="11">
        <v>191867.64931267</v>
      </c>
      <c r="E433" s="18">
        <v>16945.6136847496</v>
      </c>
      <c r="F433" s="11">
        <v>6353.6116</v>
      </c>
      <c r="G433" s="11">
        <v>173729.828277551</v>
      </c>
      <c r="H433" s="17">
        <v>15930.4157736683</v>
      </c>
      <c r="I433" s="11">
        <v>7341.6225</v>
      </c>
      <c r="J433" s="11">
        <v>244659.008109154</v>
      </c>
      <c r="K433" s="17">
        <v>17427.3487328243</v>
      </c>
    </row>
    <row r="434" spans="1:11">
      <c r="A434" s="1" t="s">
        <v>17</v>
      </c>
      <c r="B434" s="1">
        <v>2064</v>
      </c>
      <c r="C434" s="10">
        <v>6029.8264</v>
      </c>
      <c r="D434" s="11">
        <v>193241.26134589</v>
      </c>
      <c r="E434" s="18">
        <v>16945.6136847496</v>
      </c>
      <c r="F434" s="11">
        <v>6340.2162</v>
      </c>
      <c r="G434" s="11">
        <v>174938.162849804</v>
      </c>
      <c r="H434" s="17">
        <v>15930.4157736683</v>
      </c>
      <c r="I434" s="11">
        <v>7349.4249</v>
      </c>
      <c r="J434" s="11">
        <v>249288.723726404</v>
      </c>
      <c r="K434" s="17">
        <v>17427.3487328243</v>
      </c>
    </row>
    <row r="435" spans="1:11">
      <c r="A435" s="1" t="s">
        <v>17</v>
      </c>
      <c r="B435" s="1">
        <v>2065</v>
      </c>
      <c r="C435" s="10">
        <v>6004.5054</v>
      </c>
      <c r="D435" s="11">
        <v>194715.205071742</v>
      </c>
      <c r="E435" s="18">
        <v>16945.6136847496</v>
      </c>
      <c r="F435" s="11">
        <v>6327.4948</v>
      </c>
      <c r="G435" s="11">
        <v>176658.85966269</v>
      </c>
      <c r="H435" s="17">
        <v>15930.4157736683</v>
      </c>
      <c r="I435" s="11">
        <v>7356.7662</v>
      </c>
      <c r="J435" s="11">
        <v>254337.953836582</v>
      </c>
      <c r="K435" s="17">
        <v>17427.3487328243</v>
      </c>
    </row>
    <row r="436" spans="1:11">
      <c r="A436" s="1" t="s">
        <v>17</v>
      </c>
      <c r="B436" s="1">
        <v>2066</v>
      </c>
      <c r="C436" s="10">
        <v>5978.8422</v>
      </c>
      <c r="D436" s="11">
        <v>196302.03315114</v>
      </c>
      <c r="E436" s="18">
        <v>16945.6136847496</v>
      </c>
      <c r="F436" s="11">
        <v>6315.6943</v>
      </c>
      <c r="G436" s="11">
        <v>179015.059525399</v>
      </c>
      <c r="H436" s="17">
        <v>15930.4157736683</v>
      </c>
      <c r="I436" s="11">
        <v>7363.8463</v>
      </c>
      <c r="J436" s="11">
        <v>259769.460147913</v>
      </c>
      <c r="K436" s="17">
        <v>17427.3487328243</v>
      </c>
    </row>
    <row r="437" spans="1:11">
      <c r="A437" s="1" t="s">
        <v>17</v>
      </c>
      <c r="B437" s="1">
        <v>2067</v>
      </c>
      <c r="C437" s="10">
        <v>5953.2072</v>
      </c>
      <c r="D437" s="11">
        <v>197886.506633834</v>
      </c>
      <c r="E437" s="18">
        <v>16945.6136847496</v>
      </c>
      <c r="F437" s="11">
        <v>6304.7954</v>
      </c>
      <c r="G437" s="11">
        <v>181869.937299158</v>
      </c>
      <c r="H437" s="17">
        <v>15930.4157736683</v>
      </c>
      <c r="I437" s="11">
        <v>7371.0005</v>
      </c>
      <c r="J437" s="11">
        <v>265398.455630234</v>
      </c>
      <c r="K437" s="17">
        <v>17427.3487328243</v>
      </c>
    </row>
    <row r="438" spans="1:11">
      <c r="A438" s="1" t="s">
        <v>17</v>
      </c>
      <c r="B438" s="1">
        <v>2068</v>
      </c>
      <c r="C438" s="10">
        <v>5927.9981</v>
      </c>
      <c r="D438" s="11">
        <v>199321.438666788</v>
      </c>
      <c r="E438" s="18">
        <v>16945.6136847496</v>
      </c>
      <c r="F438" s="11">
        <v>6294.7099</v>
      </c>
      <c r="G438" s="11">
        <v>185021.67635821</v>
      </c>
      <c r="H438" s="17">
        <v>15930.4157736683</v>
      </c>
      <c r="I438" s="11">
        <v>7378.5896</v>
      </c>
      <c r="J438" s="11">
        <v>271003.266068793</v>
      </c>
      <c r="K438" s="17">
        <v>17427.3487328243</v>
      </c>
    </row>
    <row r="439" spans="1:11">
      <c r="A439" s="1" t="s">
        <v>17</v>
      </c>
      <c r="B439" s="1">
        <v>2069</v>
      </c>
      <c r="C439" s="10">
        <v>5903.612</v>
      </c>
      <c r="D439" s="11">
        <v>200459.642396964</v>
      </c>
      <c r="E439" s="18">
        <v>16945.6136847496</v>
      </c>
      <c r="F439" s="11">
        <v>6285.347</v>
      </c>
      <c r="G439" s="11">
        <v>188268.460076794</v>
      </c>
      <c r="H439" s="17">
        <v>15930.4157736683</v>
      </c>
      <c r="I439" s="11">
        <v>7386.9631</v>
      </c>
      <c r="J439" s="11">
        <v>276362.217248834</v>
      </c>
      <c r="K439" s="17">
        <v>17427.3487328243</v>
      </c>
    </row>
    <row r="440" spans="1:11">
      <c r="A440" s="1" t="s">
        <v>17</v>
      </c>
      <c r="B440" s="1">
        <v>2070</v>
      </c>
      <c r="C440" s="10">
        <v>5880.4453</v>
      </c>
      <c r="D440" s="11">
        <v>201153.930971324</v>
      </c>
      <c r="E440" s="18">
        <v>16945.6136847496</v>
      </c>
      <c r="F440" s="11">
        <v>6276.613</v>
      </c>
      <c r="G440" s="11">
        <v>191408.471829153</v>
      </c>
      <c r="H440" s="17">
        <v>15930.4157736683</v>
      </c>
      <c r="I440" s="11">
        <v>7396.4577</v>
      </c>
      <c r="J440" s="11">
        <v>281253.634955602</v>
      </c>
      <c r="K440" s="17">
        <v>17427.3487328243</v>
      </c>
    </row>
    <row r="441" spans="1:11">
      <c r="A441" s="1" t="s">
        <v>17</v>
      </c>
      <c r="B441" s="1">
        <v>2071</v>
      </c>
      <c r="C441" s="10">
        <v>5858.7312</v>
      </c>
      <c r="D441" s="11">
        <v>201312.316153923</v>
      </c>
      <c r="E441" s="18">
        <v>16945.6136847496</v>
      </c>
      <c r="F441" s="11">
        <v>6268.3978</v>
      </c>
      <c r="G441" s="11">
        <v>194290.614483708</v>
      </c>
      <c r="H441" s="17">
        <v>15930.4157736683</v>
      </c>
      <c r="I441" s="11">
        <v>7407.2483</v>
      </c>
      <c r="J441" s="11">
        <v>285554.377139634</v>
      </c>
      <c r="K441" s="17">
        <v>17427.3487328243</v>
      </c>
    </row>
    <row r="442" spans="1:11">
      <c r="A442" s="1" t="s">
        <v>17</v>
      </c>
      <c r="B442" s="1">
        <v>2072</v>
      </c>
      <c r="C442" s="10">
        <v>5838.055</v>
      </c>
      <c r="D442" s="11">
        <v>201063.604177199</v>
      </c>
      <c r="E442" s="18">
        <v>16945.6136847496</v>
      </c>
      <c r="F442" s="11">
        <v>6260.5353</v>
      </c>
      <c r="G442" s="11">
        <v>196966.668885603</v>
      </c>
      <c r="H442" s="17">
        <v>15930.4157736683</v>
      </c>
      <c r="I442" s="11">
        <v>7418.9082</v>
      </c>
      <c r="J442" s="11">
        <v>289535.430412632</v>
      </c>
      <c r="K442" s="17">
        <v>17427.3487328243</v>
      </c>
    </row>
    <row r="443" spans="1:11">
      <c r="A443" s="1" t="s">
        <v>17</v>
      </c>
      <c r="B443" s="1">
        <v>2073</v>
      </c>
      <c r="C443" s="10">
        <v>5817.837</v>
      </c>
      <c r="D443" s="11">
        <v>200591.799890678</v>
      </c>
      <c r="E443" s="18">
        <v>16945.6136847496</v>
      </c>
      <c r="F443" s="11">
        <v>6252.8444</v>
      </c>
      <c r="G443" s="11">
        <v>199539.135374165</v>
      </c>
      <c r="H443" s="17">
        <v>15930.4157736683</v>
      </c>
      <c r="I443" s="11">
        <v>7430.8619</v>
      </c>
      <c r="J443" s="11">
        <v>293566.31355159</v>
      </c>
      <c r="K443" s="17">
        <v>17427.3487328243</v>
      </c>
    </row>
    <row r="444" spans="1:11">
      <c r="A444" s="1" t="s">
        <v>17</v>
      </c>
      <c r="B444" s="1">
        <v>2074</v>
      </c>
      <c r="C444" s="10">
        <v>5797.4932</v>
      </c>
      <c r="D444" s="11">
        <v>200080.908143893</v>
      </c>
      <c r="E444" s="18">
        <v>16945.6136847496</v>
      </c>
      <c r="F444" s="11">
        <v>6245.1432</v>
      </c>
      <c r="G444" s="11">
        <v>202110.514288717</v>
      </c>
      <c r="H444" s="17">
        <v>15930.4157736683</v>
      </c>
      <c r="I444" s="11">
        <v>7442.5344</v>
      </c>
      <c r="J444" s="11">
        <v>298016.545333501</v>
      </c>
      <c r="K444" s="17">
        <v>17427.3487328243</v>
      </c>
    </row>
    <row r="445" spans="1:11">
      <c r="A445" s="1" t="s">
        <v>17</v>
      </c>
      <c r="B445" s="1">
        <v>2075</v>
      </c>
      <c r="C445" s="10">
        <v>5776.4365</v>
      </c>
      <c r="D445" s="11">
        <v>199714.933786371</v>
      </c>
      <c r="E445" s="18">
        <v>16945.6136847496</v>
      </c>
      <c r="F445" s="11">
        <v>6237.2484</v>
      </c>
      <c r="G445" s="11">
        <v>204783.305968588</v>
      </c>
      <c r="H445" s="17">
        <v>15930.4157736683</v>
      </c>
      <c r="I445" s="11">
        <v>7453.3526</v>
      </c>
      <c r="J445" s="11">
        <v>303255.644535361</v>
      </c>
      <c r="K445" s="17">
        <v>17427.3487328243</v>
      </c>
    </row>
    <row r="446" spans="1:11">
      <c r="A446" s="1" t="s">
        <v>17</v>
      </c>
      <c r="B446" s="1">
        <v>2076</v>
      </c>
      <c r="C446" s="10">
        <v>5754.0641</v>
      </c>
      <c r="D446" s="11">
        <v>199633.212817602</v>
      </c>
      <c r="E446" s="18">
        <v>16945.6136847496</v>
      </c>
      <c r="F446" s="11">
        <v>6228.9794</v>
      </c>
      <c r="G446" s="11">
        <v>207624.667411863</v>
      </c>
      <c r="H446" s="17">
        <v>15930.4157736683</v>
      </c>
      <c r="I446" s="11">
        <v>7462.7052</v>
      </c>
      <c r="J446" s="11">
        <v>309492.701277611</v>
      </c>
      <c r="K446" s="17">
        <v>17427.3487328243</v>
      </c>
    </row>
    <row r="447" spans="1:11">
      <c r="A447" s="1" t="s">
        <v>17</v>
      </c>
      <c r="B447" s="1">
        <v>2077</v>
      </c>
      <c r="C447" s="10">
        <v>5729.7251</v>
      </c>
      <c r="D447" s="11">
        <v>199796.405836909</v>
      </c>
      <c r="E447" s="18">
        <v>16945.6136847496</v>
      </c>
      <c r="F447" s="11">
        <v>6220.1718</v>
      </c>
      <c r="G447" s="11">
        <v>210560.382251683</v>
      </c>
      <c r="H447" s="17">
        <v>15930.4157736683</v>
      </c>
      <c r="I447" s="11">
        <v>7469.8328</v>
      </c>
      <c r="J447" s="11">
        <v>316295.09105449</v>
      </c>
      <c r="K447" s="17">
        <v>17427.3487328243</v>
      </c>
    </row>
    <row r="448" spans="1:11">
      <c r="A448" s="1" t="s">
        <v>17</v>
      </c>
      <c r="B448" s="1">
        <v>2078</v>
      </c>
      <c r="C448" s="10">
        <v>5702.7649</v>
      </c>
      <c r="D448" s="11">
        <v>200120.504593575</v>
      </c>
      <c r="E448" s="18">
        <v>16945.6136847496</v>
      </c>
      <c r="F448" s="11">
        <v>6210.6671</v>
      </c>
      <c r="G448" s="11">
        <v>213480.89077995</v>
      </c>
      <c r="H448" s="17">
        <v>15930.4157736683</v>
      </c>
      <c r="I448" s="11">
        <v>7473.9643</v>
      </c>
      <c r="J448" s="11">
        <v>323069.760703688</v>
      </c>
      <c r="K448" s="17">
        <v>17427.3487328243</v>
      </c>
    </row>
    <row r="449" spans="1:11">
      <c r="A449" s="1" t="s">
        <v>17</v>
      </c>
      <c r="B449" s="1">
        <v>2079</v>
      </c>
      <c r="C449" s="10">
        <v>5672.5393</v>
      </c>
      <c r="D449" s="11">
        <v>200521.500836884</v>
      </c>
      <c r="E449" s="18">
        <v>16945.6136847496</v>
      </c>
      <c r="F449" s="11">
        <v>6200.3089</v>
      </c>
      <c r="G449" s="11">
        <v>216276.633288567</v>
      </c>
      <c r="H449" s="17">
        <v>15930.4157736683</v>
      </c>
      <c r="I449" s="11">
        <v>7474.3608</v>
      </c>
      <c r="J449" s="11">
        <v>329223.657062893</v>
      </c>
      <c r="K449" s="17">
        <v>17427.3487328243</v>
      </c>
    </row>
    <row r="450" spans="1:11">
      <c r="A450" s="1" t="s">
        <v>17</v>
      </c>
      <c r="B450" s="1">
        <v>2080</v>
      </c>
      <c r="C450" s="10">
        <v>5638.4146</v>
      </c>
      <c r="D450" s="11">
        <v>200915.386316118</v>
      </c>
      <c r="E450" s="18">
        <v>16945.6136847496</v>
      </c>
      <c r="F450" s="11">
        <v>6188.9431</v>
      </c>
      <c r="G450" s="11">
        <v>218838.050069434</v>
      </c>
      <c r="H450" s="17">
        <v>15930.4157736683</v>
      </c>
      <c r="I450" s="11">
        <v>7470.3186</v>
      </c>
      <c r="J450" s="11">
        <v>334163.726969793</v>
      </c>
      <c r="K450" s="17">
        <v>17427.3487328243</v>
      </c>
    </row>
    <row r="451" spans="1:11">
      <c r="A451" s="1" t="s">
        <v>17</v>
      </c>
      <c r="B451" s="1">
        <v>2081</v>
      </c>
      <c r="C451" s="10">
        <v>5600.1067</v>
      </c>
      <c r="D451" s="11">
        <v>201229.328981383</v>
      </c>
      <c r="E451" s="18">
        <v>16945.6136847496</v>
      </c>
      <c r="F451" s="11">
        <v>6176.5585</v>
      </c>
      <c r="G451" s="11">
        <v>221089.277351104</v>
      </c>
      <c r="H451" s="17">
        <v>15930.4157736683</v>
      </c>
      <c r="I451" s="11">
        <v>7461.5627</v>
      </c>
      <c r="J451" s="11">
        <v>337498.541403495</v>
      </c>
      <c r="K451" s="17">
        <v>17427.3487328243</v>
      </c>
    </row>
    <row r="452" spans="1:11">
      <c r="A452" s="1" t="s">
        <v>17</v>
      </c>
      <c r="B452" s="1">
        <v>2082</v>
      </c>
      <c r="C452" s="10">
        <v>5558.6903</v>
      </c>
      <c r="D452" s="11">
        <v>201435.201586078</v>
      </c>
      <c r="E452" s="18">
        <v>16945.6136847496</v>
      </c>
      <c r="F452" s="11">
        <v>6163.7138</v>
      </c>
      <c r="G452" s="11">
        <v>223089.235108726</v>
      </c>
      <c r="H452" s="17">
        <v>15930.4157736683</v>
      </c>
      <c r="I452" s="11">
        <v>7449.3957</v>
      </c>
      <c r="J452" s="11">
        <v>339643.167908787</v>
      </c>
      <c r="K452" s="17">
        <v>17427.3487328243</v>
      </c>
    </row>
    <row r="453" spans="1:11">
      <c r="A453" s="1" t="s">
        <v>17</v>
      </c>
      <c r="B453" s="1">
        <v>2083</v>
      </c>
      <c r="C453" s="10">
        <v>5515.5782</v>
      </c>
      <c r="D453" s="11">
        <v>201516.053084425</v>
      </c>
      <c r="E453" s="18">
        <v>16945.6136847496</v>
      </c>
      <c r="F453" s="11">
        <v>6151.1146</v>
      </c>
      <c r="G453" s="11">
        <v>224930.539254101</v>
      </c>
      <c r="H453" s="17">
        <v>15930.4157736683</v>
      </c>
      <c r="I453" s="11">
        <v>7435.4952</v>
      </c>
      <c r="J453" s="11">
        <v>341214.298171871</v>
      </c>
      <c r="K453" s="17">
        <v>17427.3487328243</v>
      </c>
    </row>
    <row r="454" spans="1:11">
      <c r="A454" s="1" t="s">
        <v>17</v>
      </c>
      <c r="B454" s="1">
        <v>2084</v>
      </c>
      <c r="C454" s="10">
        <v>5472.1828</v>
      </c>
      <c r="D454" s="11">
        <v>201454.932430647</v>
      </c>
      <c r="E454" s="18">
        <v>16945.6136847496</v>
      </c>
      <c r="F454" s="11">
        <v>6139.4729</v>
      </c>
      <c r="G454" s="11">
        <v>226705.805699027</v>
      </c>
      <c r="H454" s="17">
        <v>15930.4157736683</v>
      </c>
      <c r="I454" s="11">
        <v>7421.5161</v>
      </c>
      <c r="J454" s="11">
        <v>342828.623878955</v>
      </c>
      <c r="K454" s="17">
        <v>17427.3487328243</v>
      </c>
    </row>
    <row r="455" spans="1:11">
      <c r="A455" s="1" t="s">
        <v>17</v>
      </c>
      <c r="B455" s="1">
        <v>2085</v>
      </c>
      <c r="C455" s="10">
        <v>5429.9146</v>
      </c>
      <c r="D455" s="11">
        <v>201234.888578966</v>
      </c>
      <c r="E455" s="18">
        <v>16945.6136847496</v>
      </c>
      <c r="F455" s="11">
        <v>6129.5075</v>
      </c>
      <c r="G455" s="11">
        <v>228507.650355303</v>
      </c>
      <c r="H455" s="17">
        <v>15930.4157736683</v>
      </c>
      <c r="I455" s="11">
        <v>7409.0861</v>
      </c>
      <c r="J455" s="11">
        <v>345102.836716242</v>
      </c>
      <c r="K455" s="17">
        <v>17427.3487328243</v>
      </c>
    </row>
    <row r="456" spans="1:11">
      <c r="A456" s="1" t="s">
        <v>17</v>
      </c>
      <c r="B456" s="1">
        <v>2086</v>
      </c>
      <c r="C456" s="10">
        <v>5389.9762</v>
      </c>
      <c r="D456" s="11">
        <v>200852.341288766</v>
      </c>
      <c r="E456" s="18">
        <v>16945.6136847496</v>
      </c>
      <c r="F456" s="11">
        <v>6121.7842</v>
      </c>
      <c r="G456" s="11">
        <v>230406.463364354</v>
      </c>
      <c r="H456" s="17">
        <v>15930.4157736683</v>
      </c>
      <c r="I456" s="11">
        <v>7399.5102</v>
      </c>
      <c r="J456" s="11">
        <v>348502.519762544</v>
      </c>
      <c r="K456" s="17">
        <v>17427.3487328243</v>
      </c>
    </row>
    <row r="457" spans="1:11">
      <c r="A457" s="1" t="s">
        <v>17</v>
      </c>
      <c r="B457" s="1">
        <v>2087</v>
      </c>
      <c r="C457" s="10">
        <v>5352.7426</v>
      </c>
      <c r="D457" s="11">
        <v>200357.193540086</v>
      </c>
      <c r="E457" s="18">
        <v>16945.6136847496</v>
      </c>
      <c r="F457" s="11">
        <v>6116.2321</v>
      </c>
      <c r="G457" s="11">
        <v>232383.731786101</v>
      </c>
      <c r="H457" s="17">
        <v>15930.4157736683</v>
      </c>
      <c r="I457" s="11">
        <v>7392.8988</v>
      </c>
      <c r="J457" s="11">
        <v>352888.821667095</v>
      </c>
      <c r="K457" s="17">
        <v>17427.3487328243</v>
      </c>
    </row>
    <row r="458" spans="1:11">
      <c r="A458" s="1" t="s">
        <v>17</v>
      </c>
      <c r="B458" s="1">
        <v>2088</v>
      </c>
      <c r="C458" s="10">
        <v>5318.3728</v>
      </c>
      <c r="D458" s="11">
        <v>199812.719118124</v>
      </c>
      <c r="E458" s="18">
        <v>16945.6136847496</v>
      </c>
      <c r="F458" s="11">
        <v>6112.6108</v>
      </c>
      <c r="G458" s="11">
        <v>234398.716910091</v>
      </c>
      <c r="H458" s="17">
        <v>15930.4157736683</v>
      </c>
      <c r="I458" s="11">
        <v>7389.0367</v>
      </c>
      <c r="J458" s="11">
        <v>357971.782471733</v>
      </c>
      <c r="K458" s="17">
        <v>17427.3487328243</v>
      </c>
    </row>
    <row r="459" spans="1:11">
      <c r="A459" s="1" t="s">
        <v>17</v>
      </c>
      <c r="B459" s="1">
        <v>2089</v>
      </c>
      <c r="C459" s="10">
        <v>5287.0135</v>
      </c>
      <c r="D459" s="11">
        <v>199282.191808081</v>
      </c>
      <c r="E459" s="18">
        <v>16945.6136847496</v>
      </c>
      <c r="F459" s="11">
        <v>6110.6677</v>
      </c>
      <c r="G459" s="11">
        <v>236410.68002587</v>
      </c>
      <c r="H459" s="17">
        <v>15930.4157736683</v>
      </c>
      <c r="I459" s="11">
        <v>7387.6716</v>
      </c>
      <c r="J459" s="11">
        <v>363461.442218301</v>
      </c>
      <c r="K459" s="17">
        <v>17427.3487328243</v>
      </c>
    </row>
    <row r="460" spans="1:11">
      <c r="A460" s="1" t="s">
        <v>17</v>
      </c>
      <c r="B460" s="1">
        <v>2090</v>
      </c>
      <c r="C460" s="10">
        <v>5258.7981</v>
      </c>
      <c r="D460" s="11">
        <v>198828.885395156</v>
      </c>
      <c r="E460" s="18">
        <v>16945.6136847496</v>
      </c>
      <c r="F460" s="11">
        <v>6110.1385</v>
      </c>
      <c r="G460" s="11">
        <v>238378.882422986</v>
      </c>
      <c r="H460" s="17">
        <v>15930.4157736683</v>
      </c>
      <c r="I460" s="11">
        <v>7388.5119</v>
      </c>
      <c r="J460" s="11">
        <v>369067.840948635</v>
      </c>
      <c r="K460" s="17">
        <v>17427.3487328243</v>
      </c>
    </row>
    <row r="461" spans="1:11">
      <c r="A461" s="1" t="s">
        <v>17</v>
      </c>
      <c r="B461" s="1">
        <v>2091</v>
      </c>
      <c r="C461" s="10">
        <v>5233.7558</v>
      </c>
      <c r="D461" s="11">
        <v>198499.09665966</v>
      </c>
      <c r="E461" s="18">
        <v>16945.6136847496</v>
      </c>
      <c r="F461" s="11">
        <v>6110.7758</v>
      </c>
      <c r="G461" s="11">
        <v>240270.560273405</v>
      </c>
      <c r="H461" s="17">
        <v>15930.4157736683</v>
      </c>
      <c r="I461" s="11">
        <v>7391.2394</v>
      </c>
      <c r="J461" s="11">
        <v>374549.199588685</v>
      </c>
      <c r="K461" s="17">
        <v>17427.3487328243</v>
      </c>
    </row>
    <row r="462" spans="1:11">
      <c r="A462" s="1" t="s">
        <v>17</v>
      </c>
      <c r="B462" s="1">
        <v>2092</v>
      </c>
      <c r="C462" s="10">
        <v>5211.544</v>
      </c>
      <c r="D462" s="11">
        <v>198271.214362333</v>
      </c>
      <c r="E462" s="18">
        <v>16945.6136847496</v>
      </c>
      <c r="F462" s="11">
        <v>6112.4393</v>
      </c>
      <c r="G462" s="11">
        <v>242084.849278779</v>
      </c>
      <c r="H462" s="17">
        <v>15930.4157736683</v>
      </c>
      <c r="I462" s="11">
        <v>7395.562</v>
      </c>
      <c r="J462" s="11">
        <v>379856.462600824</v>
      </c>
      <c r="K462" s="17">
        <v>17427.3487328243</v>
      </c>
    </row>
    <row r="463" spans="1:11">
      <c r="A463" s="1" t="s">
        <v>17</v>
      </c>
      <c r="B463" s="1">
        <v>2093</v>
      </c>
      <c r="C463" s="10">
        <v>5191.725</v>
      </c>
      <c r="D463" s="11">
        <v>198106.65025903</v>
      </c>
      <c r="E463" s="18">
        <v>16945.6136847496</v>
      </c>
      <c r="F463" s="11">
        <v>6115.0189</v>
      </c>
      <c r="G463" s="11">
        <v>243828.860023182</v>
      </c>
      <c r="H463" s="17">
        <v>15930.4157736683</v>
      </c>
      <c r="I463" s="11">
        <v>7401.2011</v>
      </c>
      <c r="J463" s="11">
        <v>384988.755331536</v>
      </c>
      <c r="K463" s="17">
        <v>17427.3487328243</v>
      </c>
    </row>
    <row r="464" spans="1:11">
      <c r="A464" s="1" t="s">
        <v>17</v>
      </c>
      <c r="B464" s="1">
        <v>2094</v>
      </c>
      <c r="C464" s="10">
        <v>5173.8573</v>
      </c>
      <c r="D464" s="11">
        <v>197966.816105601</v>
      </c>
      <c r="E464" s="18">
        <v>16945.6136847496</v>
      </c>
      <c r="F464" s="11">
        <v>6118.4077</v>
      </c>
      <c r="G464" s="11">
        <v>245509.703090685</v>
      </c>
      <c r="H464" s="17">
        <v>15930.4157736683</v>
      </c>
      <c r="I464" s="11">
        <v>7407.8834</v>
      </c>
      <c r="J464" s="11">
        <v>389945.203127302</v>
      </c>
      <c r="K464" s="17">
        <v>17427.3487328243</v>
      </c>
    </row>
    <row r="465" spans="1:11">
      <c r="A465" s="1" t="s">
        <v>17</v>
      </c>
      <c r="B465" s="1">
        <v>2095</v>
      </c>
      <c r="C465" s="10">
        <v>5157.4963</v>
      </c>
      <c r="D465" s="11">
        <v>197813.123657898</v>
      </c>
      <c r="E465" s="18">
        <v>16945.6136847496</v>
      </c>
      <c r="F465" s="11">
        <v>6122.5015</v>
      </c>
      <c r="G465" s="11">
        <v>247134.489065362</v>
      </c>
      <c r="H465" s="17">
        <v>15930.4157736683</v>
      </c>
      <c r="I465" s="11">
        <v>7415.3415</v>
      </c>
      <c r="J465" s="11">
        <v>394724.931334604</v>
      </c>
      <c r="K465" s="17">
        <v>17427.3487328243</v>
      </c>
    </row>
    <row r="466" spans="1:11">
      <c r="A466" s="1" t="s">
        <v>17</v>
      </c>
      <c r="B466" s="1">
        <v>2096</v>
      </c>
      <c r="C466" s="10">
        <v>5142.1956</v>
      </c>
      <c r="D466" s="11">
        <v>197606.984671774</v>
      </c>
      <c r="E466" s="18">
        <v>16945.6136847496</v>
      </c>
      <c r="F466" s="11">
        <v>6127.1987</v>
      </c>
      <c r="G466" s="11">
        <v>248710.328531285</v>
      </c>
      <c r="H466" s="17">
        <v>15930.4157736683</v>
      </c>
      <c r="I466" s="11">
        <v>7423.3147</v>
      </c>
      <c r="J466" s="11">
        <v>399327.065299925</v>
      </c>
      <c r="K466" s="17">
        <v>17427.3487328243</v>
      </c>
    </row>
    <row r="467" spans="1:11">
      <c r="A467" s="1" t="s">
        <v>17</v>
      </c>
      <c r="B467" s="1">
        <v>2097</v>
      </c>
      <c r="C467" s="10">
        <v>5127.5073</v>
      </c>
      <c r="D467" s="11">
        <v>197309.81090308</v>
      </c>
      <c r="E467" s="18">
        <v>16945.6136847496</v>
      </c>
      <c r="F467" s="11">
        <v>6132.4003</v>
      </c>
      <c r="G467" s="11">
        <v>250244.332072527</v>
      </c>
      <c r="H467" s="17">
        <v>15930.4157736683</v>
      </c>
      <c r="I467" s="11">
        <v>7431.549</v>
      </c>
      <c r="J467" s="11">
        <v>403750.730369747</v>
      </c>
      <c r="K467" s="17">
        <v>17427.3487328243</v>
      </c>
    </row>
    <row r="468" spans="1:11">
      <c r="A468" s="1" t="s">
        <v>17</v>
      </c>
      <c r="B468" s="1">
        <v>2098</v>
      </c>
      <c r="C468" s="10">
        <v>5112.9832</v>
      </c>
      <c r="D468" s="11">
        <v>196883.014107669</v>
      </c>
      <c r="E468" s="18">
        <v>16945.6136847496</v>
      </c>
      <c r="F468" s="11">
        <v>6138.0096</v>
      </c>
      <c r="G468" s="11">
        <v>251743.610273161</v>
      </c>
      <c r="H468" s="17">
        <v>15930.4157736683</v>
      </c>
      <c r="I468" s="11">
        <v>7439.7976</v>
      </c>
      <c r="J468" s="11">
        <v>407995.051890552</v>
      </c>
      <c r="K468" s="17">
        <v>17427.3487328243</v>
      </c>
    </row>
    <row r="469" spans="1:11">
      <c r="A469" s="1" t="s">
        <v>17</v>
      </c>
      <c r="B469" s="1">
        <v>2099</v>
      </c>
      <c r="C469" s="10">
        <v>5098.1753</v>
      </c>
      <c r="D469" s="11">
        <v>196288.006041391</v>
      </c>
      <c r="E469" s="18">
        <v>16945.6136847496</v>
      </c>
      <c r="F469" s="11">
        <v>6143.9322</v>
      </c>
      <c r="G469" s="11">
        <v>253215.27371726</v>
      </c>
      <c r="H469" s="17">
        <v>15930.4157736683</v>
      </c>
      <c r="I469" s="11">
        <v>7447.8214</v>
      </c>
      <c r="J469" s="11">
        <v>412059.155208823</v>
      </c>
      <c r="K469" s="17">
        <v>17427.3487328243</v>
      </c>
    </row>
    <row r="470" spans="1:11">
      <c r="A470" s="1" t="s">
        <v>17</v>
      </c>
      <c r="B470" s="1">
        <v>2100</v>
      </c>
      <c r="C470" s="10">
        <v>5082.6367</v>
      </c>
      <c r="D470" s="11">
        <v>195486.1984601</v>
      </c>
      <c r="E470" s="18">
        <v>16945.6136847496</v>
      </c>
      <c r="F470" s="11">
        <v>6150.0755</v>
      </c>
      <c r="G470" s="11">
        <v>254666.432988896</v>
      </c>
      <c r="H470" s="17">
        <v>15930.4157736683</v>
      </c>
      <c r="I470" s="11">
        <v>7455.3886</v>
      </c>
      <c r="J470" s="11">
        <v>415942.165671041</v>
      </c>
      <c r="K470" s="17">
        <v>17427.3487328243</v>
      </c>
    </row>
    <row r="471" spans="1:11">
      <c r="A471" s="1" t="s">
        <v>9</v>
      </c>
      <c r="B471" s="1">
        <v>2023</v>
      </c>
      <c r="C471" s="10">
        <v>3953.6436</v>
      </c>
      <c r="D471" s="11">
        <v>32788.1236784687</v>
      </c>
      <c r="E471" s="16">
        <v>5961.36</v>
      </c>
      <c r="F471" s="11">
        <v>4020.2495</v>
      </c>
      <c r="G471" s="11">
        <v>31686.283836349</v>
      </c>
      <c r="H471" s="17">
        <v>5783.55</v>
      </c>
      <c r="I471" s="11">
        <v>3972.6705</v>
      </c>
      <c r="J471" s="11">
        <v>33358.0680486245</v>
      </c>
      <c r="K471" s="17">
        <v>5970.1</v>
      </c>
    </row>
    <row r="472" spans="1:11">
      <c r="A472" s="1" t="s">
        <v>9</v>
      </c>
      <c r="B472" s="1">
        <v>2024</v>
      </c>
      <c r="C472" s="10">
        <v>3962.1571</v>
      </c>
      <c r="D472" s="11">
        <v>34712.2473429898</v>
      </c>
      <c r="E472" s="3">
        <f>(E471+E473)/2</f>
        <v>6217.89</v>
      </c>
      <c r="F472" s="11">
        <v>4035.0573</v>
      </c>
      <c r="G472" s="11">
        <v>33905.0110926677</v>
      </c>
      <c r="H472" s="4">
        <f>(H471+H473)/2</f>
        <v>5987.16</v>
      </c>
      <c r="I472" s="11">
        <v>3985.3631</v>
      </c>
      <c r="J472" s="11">
        <v>35309.8436633658</v>
      </c>
      <c r="K472" s="4">
        <f>(K471+K473)/2</f>
        <v>6238.46</v>
      </c>
    </row>
    <row r="473" spans="1:11">
      <c r="A473" s="1" t="s">
        <v>9</v>
      </c>
      <c r="B473" s="1">
        <v>2025</v>
      </c>
      <c r="C473" s="10">
        <v>3969.6807</v>
      </c>
      <c r="D473" s="11">
        <v>36678.3873820552</v>
      </c>
      <c r="E473" s="16">
        <v>6474.42</v>
      </c>
      <c r="F473" s="11">
        <v>4048.1858</v>
      </c>
      <c r="G473" s="11">
        <v>36094.8613566203</v>
      </c>
      <c r="H473" s="17">
        <v>6190.77</v>
      </c>
      <c r="I473" s="11">
        <v>3997.5759</v>
      </c>
      <c r="J473" s="11">
        <v>37269.812823175</v>
      </c>
      <c r="K473" s="17">
        <v>6506.82</v>
      </c>
    </row>
    <row r="474" spans="1:11">
      <c r="A474" s="1" t="s">
        <v>9</v>
      </c>
      <c r="B474" s="1">
        <v>2026</v>
      </c>
      <c r="C474" s="10">
        <v>3976.5284</v>
      </c>
      <c r="D474" s="11">
        <v>38630.3926998256</v>
      </c>
      <c r="E474" s="3">
        <f t="shared" ref="E474:E477" si="88">E473*(1+$L$473)</f>
        <v>6474.42</v>
      </c>
      <c r="F474" s="11">
        <v>4059.9751</v>
      </c>
      <c r="G474" s="11">
        <v>38151.8955069203</v>
      </c>
      <c r="H474" s="4">
        <f t="shared" ref="H474:H477" si="89">H473*(1+M$473)</f>
        <v>6190.77</v>
      </c>
      <c r="I474" s="11">
        <v>4009.6353</v>
      </c>
      <c r="J474" s="11">
        <v>39176.2647189811</v>
      </c>
      <c r="K474" s="4">
        <f t="shared" ref="K474:K477" si="90">K473*(1+N$473)</f>
        <v>6506.82</v>
      </c>
    </row>
    <row r="475" spans="1:11">
      <c r="A475" s="1" t="s">
        <v>9</v>
      </c>
      <c r="B475" s="1">
        <v>2027</v>
      </c>
      <c r="C475" s="10">
        <v>3982.8246</v>
      </c>
      <c r="D475" s="11">
        <v>40597.112145059</v>
      </c>
      <c r="E475" s="3">
        <f t="shared" si="88"/>
        <v>6474.42</v>
      </c>
      <c r="F475" s="11">
        <v>4070.6496</v>
      </c>
      <c r="G475" s="11">
        <v>40117.9236800637</v>
      </c>
      <c r="H475" s="4">
        <f t="shared" si="89"/>
        <v>6190.77</v>
      </c>
      <c r="I475" s="11">
        <v>4021.5601</v>
      </c>
      <c r="J475" s="11">
        <v>41082.2833310951</v>
      </c>
      <c r="K475" s="4">
        <f t="shared" si="90"/>
        <v>6506.82</v>
      </c>
    </row>
    <row r="476" spans="1:11">
      <c r="A476" s="1" t="s">
        <v>9</v>
      </c>
      <c r="B476" s="1">
        <v>2028</v>
      </c>
      <c r="C476" s="10">
        <v>3988.6454</v>
      </c>
      <c r="D476" s="11">
        <v>42628.6445526626</v>
      </c>
      <c r="E476" s="3">
        <f t="shared" si="88"/>
        <v>6474.42</v>
      </c>
      <c r="F476" s="11">
        <v>4080.4055</v>
      </c>
      <c r="G476" s="11">
        <v>42071.1933269921</v>
      </c>
      <c r="H476" s="4">
        <f t="shared" si="89"/>
        <v>6190.77</v>
      </c>
      <c r="I476" s="11">
        <v>4033.2919</v>
      </c>
      <c r="J476" s="11">
        <v>43069.6513371733</v>
      </c>
      <c r="K476" s="4">
        <f t="shared" si="90"/>
        <v>6506.82</v>
      </c>
    </row>
    <row r="477" spans="1:11">
      <c r="A477" s="1" t="s">
        <v>9</v>
      </c>
      <c r="B477" s="1">
        <v>2029</v>
      </c>
      <c r="C477" s="10">
        <v>3994.0664</v>
      </c>
      <c r="D477" s="11">
        <v>44775.0887575435</v>
      </c>
      <c r="E477" s="3">
        <f t="shared" si="88"/>
        <v>6474.42</v>
      </c>
      <c r="F477" s="11">
        <v>4089.4391</v>
      </c>
      <c r="G477" s="11">
        <v>44089.9518986473</v>
      </c>
      <c r="H477" s="4">
        <f t="shared" si="89"/>
        <v>6190.77</v>
      </c>
      <c r="I477" s="11">
        <v>4044.7717</v>
      </c>
      <c r="J477" s="11">
        <v>45220.1514148719</v>
      </c>
      <c r="K477" s="4">
        <f t="shared" si="90"/>
        <v>6506.82</v>
      </c>
    </row>
    <row r="478" spans="1:11">
      <c r="A478" s="1" t="s">
        <v>9</v>
      </c>
      <c r="B478" s="1">
        <v>2030</v>
      </c>
      <c r="C478" s="10">
        <v>3999.1629</v>
      </c>
      <c r="D478" s="11">
        <v>47086.5435946091</v>
      </c>
      <c r="E478" s="18">
        <v>6987.31</v>
      </c>
      <c r="F478" s="11">
        <v>4097.947</v>
      </c>
      <c r="G478" s="11">
        <v>46252.4468459707</v>
      </c>
      <c r="H478" s="17">
        <v>6588.23</v>
      </c>
      <c r="I478" s="11">
        <v>4055.9392</v>
      </c>
      <c r="J478" s="11">
        <v>47615.5662418472</v>
      </c>
      <c r="K478" s="17">
        <v>7044.49</v>
      </c>
    </row>
    <row r="479" spans="1:11">
      <c r="A479" s="1" t="s">
        <v>9</v>
      </c>
      <c r="B479" s="1">
        <v>2031</v>
      </c>
      <c r="C479" s="10">
        <v>4003.9918</v>
      </c>
      <c r="D479" s="11">
        <v>49591.9054111531</v>
      </c>
      <c r="E479" s="3">
        <f t="shared" ref="E479:E482" si="91">E478*(1+$L$478)</f>
        <v>6987.31</v>
      </c>
      <c r="F479" s="11">
        <v>4106.1017</v>
      </c>
      <c r="G479" s="11">
        <v>48613.4776358705</v>
      </c>
      <c r="H479" s="4">
        <f t="shared" ref="H479:H482" si="92">H478*(1+M$478)</f>
        <v>6588.23</v>
      </c>
      <c r="I479" s="11">
        <v>4066.7443</v>
      </c>
      <c r="J479" s="11">
        <v>50306.489045412</v>
      </c>
      <c r="K479" s="4">
        <f t="shared" ref="K479:K482" si="93">K478*(1+N$478)</f>
        <v>7044.49</v>
      </c>
    </row>
    <row r="480" spans="1:11">
      <c r="A480" s="1" t="s">
        <v>9</v>
      </c>
      <c r="B480" s="1">
        <v>2032</v>
      </c>
      <c r="C480" s="10">
        <v>4008.5402</v>
      </c>
      <c r="D480" s="11">
        <v>52235.2606040162</v>
      </c>
      <c r="E480" s="3">
        <f t="shared" si="91"/>
        <v>6987.31</v>
      </c>
      <c r="F480" s="11">
        <v>4113.9777</v>
      </c>
      <c r="G480" s="11">
        <v>51134.0517991197</v>
      </c>
      <c r="H480" s="4">
        <f t="shared" si="92"/>
        <v>6588.23</v>
      </c>
      <c r="I480" s="11">
        <v>4077.1804</v>
      </c>
      <c r="J480" s="11">
        <v>53218.755251505</v>
      </c>
      <c r="K480" s="4">
        <f t="shared" si="93"/>
        <v>7044.49</v>
      </c>
    </row>
    <row r="481" spans="1:11">
      <c r="A481" s="1" t="s">
        <v>9</v>
      </c>
      <c r="B481" s="1">
        <v>2033</v>
      </c>
      <c r="C481" s="10">
        <v>4012.7774</v>
      </c>
      <c r="D481" s="11">
        <v>54939.4930824258</v>
      </c>
      <c r="E481" s="3">
        <f t="shared" si="91"/>
        <v>6987.31</v>
      </c>
      <c r="F481" s="11">
        <v>4121.6251</v>
      </c>
      <c r="G481" s="11">
        <v>53751.7288824579</v>
      </c>
      <c r="H481" s="4">
        <f t="shared" si="92"/>
        <v>6588.23</v>
      </c>
      <c r="I481" s="11">
        <v>4087.2516</v>
      </c>
      <c r="J481" s="11">
        <v>56247.0108357214</v>
      </c>
      <c r="K481" s="4">
        <f t="shared" si="93"/>
        <v>7044.49</v>
      </c>
    </row>
    <row r="482" spans="1:11">
      <c r="A482" s="1" t="s">
        <v>9</v>
      </c>
      <c r="B482" s="1">
        <v>2034</v>
      </c>
      <c r="C482" s="10">
        <v>4016.6727</v>
      </c>
      <c r="D482" s="11">
        <v>57627.4867556091</v>
      </c>
      <c r="E482" s="3">
        <f t="shared" si="91"/>
        <v>6987.31</v>
      </c>
      <c r="F482" s="11">
        <v>4129.0945</v>
      </c>
      <c r="G482" s="11">
        <v>56404.0684326244</v>
      </c>
      <c r="H482" s="4">
        <f t="shared" si="92"/>
        <v>6588.23</v>
      </c>
      <c r="I482" s="11">
        <v>4096.9623</v>
      </c>
      <c r="J482" s="11">
        <v>59285.9017736564</v>
      </c>
      <c r="K482" s="4">
        <f t="shared" si="93"/>
        <v>7044.49</v>
      </c>
    </row>
    <row r="483" spans="1:11">
      <c r="A483" s="1" t="s">
        <v>9</v>
      </c>
      <c r="B483" s="1">
        <v>2035</v>
      </c>
      <c r="C483" s="10">
        <v>4020.1956</v>
      </c>
      <c r="D483" s="11">
        <v>60222.1255327934</v>
      </c>
      <c r="E483" s="18">
        <v>7317.73</v>
      </c>
      <c r="F483" s="11">
        <v>4136.4367</v>
      </c>
      <c r="G483" s="11">
        <v>59028.6299963588</v>
      </c>
      <c r="H483" s="17">
        <v>6864.35</v>
      </c>
      <c r="I483" s="11">
        <v>4106.3166</v>
      </c>
      <c r="J483" s="11">
        <v>62230.0740409051</v>
      </c>
      <c r="K483" s="17">
        <v>7405.49</v>
      </c>
    </row>
    <row r="484" spans="1:11">
      <c r="A484" s="1" t="s">
        <v>9</v>
      </c>
      <c r="B484" s="1">
        <v>2036</v>
      </c>
      <c r="C484" s="10">
        <v>4023.3041</v>
      </c>
      <c r="D484" s="11">
        <v>62659.4895760967</v>
      </c>
      <c r="E484" s="3">
        <f t="shared" ref="E484:E487" si="94">E483*(1+$L$483)</f>
        <v>7317.73</v>
      </c>
      <c r="F484" s="11">
        <v>4143.6715</v>
      </c>
      <c r="G484" s="11">
        <v>61567.9484461662</v>
      </c>
      <c r="H484" s="4">
        <f t="shared" ref="H484:H487" si="95">H483*(1+M$483)</f>
        <v>6864.35</v>
      </c>
      <c r="I484" s="11">
        <v>4115.2989</v>
      </c>
      <c r="J484" s="11">
        <v>64997.2648183473</v>
      </c>
      <c r="K484" s="4">
        <f t="shared" ref="K484:K487" si="96">K483*(1+N$483)</f>
        <v>7405.49</v>
      </c>
    </row>
    <row r="485" spans="1:11">
      <c r="A485" s="1" t="s">
        <v>9</v>
      </c>
      <c r="B485" s="1">
        <v>2037</v>
      </c>
      <c r="C485" s="10">
        <v>4025.912</v>
      </c>
      <c r="D485" s="11">
        <v>64928.4440591996</v>
      </c>
      <c r="E485" s="3">
        <f t="shared" si="94"/>
        <v>7317.73</v>
      </c>
      <c r="F485" s="11">
        <v>4150.6924</v>
      </c>
      <c r="G485" s="11">
        <v>63984.4599576137</v>
      </c>
      <c r="H485" s="4">
        <f t="shared" si="95"/>
        <v>6864.35</v>
      </c>
      <c r="I485" s="11">
        <v>4123.8156</v>
      </c>
      <c r="J485" s="11">
        <v>67597.5761079995</v>
      </c>
      <c r="K485" s="4">
        <f t="shared" si="96"/>
        <v>7405.49</v>
      </c>
    </row>
    <row r="486" spans="1:11">
      <c r="A486" s="1" t="s">
        <v>9</v>
      </c>
      <c r="B486" s="1">
        <v>2038</v>
      </c>
      <c r="C486" s="10">
        <v>4027.922</v>
      </c>
      <c r="D486" s="11">
        <v>67031.0504086735</v>
      </c>
      <c r="E486" s="3">
        <f t="shared" si="94"/>
        <v>7317.73</v>
      </c>
      <c r="F486" s="11">
        <v>4157.3613</v>
      </c>
      <c r="G486" s="11">
        <v>66245.5760320341</v>
      </c>
      <c r="H486" s="4">
        <f t="shared" si="95"/>
        <v>6864.35</v>
      </c>
      <c r="I486" s="11">
        <v>4131.7531</v>
      </c>
      <c r="J486" s="11">
        <v>70064.2011171632</v>
      </c>
      <c r="K486" s="4">
        <f t="shared" si="96"/>
        <v>7405.49</v>
      </c>
    </row>
    <row r="487" spans="1:11">
      <c r="A487" s="1" t="s">
        <v>9</v>
      </c>
      <c r="B487" s="1">
        <v>2039</v>
      </c>
      <c r="C487" s="10">
        <v>4029.2364</v>
      </c>
      <c r="D487" s="11">
        <v>68969.3700510896</v>
      </c>
      <c r="E487" s="3">
        <f t="shared" si="94"/>
        <v>7317.73</v>
      </c>
      <c r="F487" s="11">
        <v>4163.5396</v>
      </c>
      <c r="G487" s="11">
        <v>68318.7081707602</v>
      </c>
      <c r="H487" s="4">
        <f t="shared" si="95"/>
        <v>6864.35</v>
      </c>
      <c r="I487" s="11">
        <v>4138.998</v>
      </c>
      <c r="J487" s="11">
        <v>72430.3330531392</v>
      </c>
      <c r="K487" s="4">
        <f t="shared" si="96"/>
        <v>7405.49</v>
      </c>
    </row>
    <row r="488" spans="1:11">
      <c r="A488" s="1" t="s">
        <v>9</v>
      </c>
      <c r="B488" s="1">
        <v>2040</v>
      </c>
      <c r="C488" s="10">
        <v>4029.7577</v>
      </c>
      <c r="D488" s="11">
        <v>70745.4644130194</v>
      </c>
      <c r="E488" s="18">
        <v>7644.73</v>
      </c>
      <c r="F488" s="11">
        <v>4169.0882</v>
      </c>
      <c r="G488" s="11">
        <v>70171.2678751249</v>
      </c>
      <c r="H488" s="17">
        <v>7139.64</v>
      </c>
      <c r="I488" s="11">
        <v>4145.436</v>
      </c>
      <c r="J488" s="11">
        <v>74729.165123229</v>
      </c>
      <c r="K488" s="17">
        <v>7763.38</v>
      </c>
    </row>
    <row r="489" spans="1:11">
      <c r="A489" s="1" t="s">
        <v>9</v>
      </c>
      <c r="B489" s="1">
        <v>2041</v>
      </c>
      <c r="C489" s="10">
        <v>4029.3931</v>
      </c>
      <c r="D489" s="11">
        <v>72367.0680358693</v>
      </c>
      <c r="E489" s="3">
        <f t="shared" ref="E489:E492" si="97">E488*(1+$L$488)</f>
        <v>7644.73</v>
      </c>
      <c r="F489" s="11">
        <v>4173.8777</v>
      </c>
      <c r="G489" s="11">
        <v>71786.1512012606</v>
      </c>
      <c r="H489" s="4">
        <f t="shared" ref="H489:H492" si="98">H488*(1+M$488)</f>
        <v>7139.64</v>
      </c>
      <c r="I489" s="11">
        <v>4150.962</v>
      </c>
      <c r="J489" s="11">
        <v>76989.4273970952</v>
      </c>
      <c r="K489" s="4">
        <f t="shared" ref="K489:K492" si="99">K488*(1+N$488)</f>
        <v>7763.38</v>
      </c>
    </row>
    <row r="490" spans="1:11">
      <c r="A490" s="1" t="s">
        <v>9</v>
      </c>
      <c r="B490" s="1">
        <v>2042</v>
      </c>
      <c r="C490" s="10">
        <v>4028.0702</v>
      </c>
      <c r="D490" s="11">
        <v>73864.6079203875</v>
      </c>
      <c r="E490" s="3">
        <f t="shared" si="97"/>
        <v>7644.73</v>
      </c>
      <c r="F490" s="11">
        <v>4177.8176</v>
      </c>
      <c r="G490" s="11">
        <v>73208.1924244988</v>
      </c>
      <c r="H490" s="4">
        <f t="shared" si="98"/>
        <v>7139.64</v>
      </c>
      <c r="I490" s="11">
        <v>4155.5055</v>
      </c>
      <c r="J490" s="11">
        <v>79221.9973938474</v>
      </c>
      <c r="K490" s="4">
        <f t="shared" si="99"/>
        <v>7763.38</v>
      </c>
    </row>
    <row r="491" spans="1:11">
      <c r="A491" s="1" t="s">
        <v>9</v>
      </c>
      <c r="B491" s="1">
        <v>2043</v>
      </c>
      <c r="C491" s="10">
        <v>4025.7216</v>
      </c>
      <c r="D491" s="11">
        <v>75274.1841821573</v>
      </c>
      <c r="E491" s="3">
        <f t="shared" si="97"/>
        <v>7644.73</v>
      </c>
      <c r="F491" s="11">
        <v>4180.8267</v>
      </c>
      <c r="G491" s="11">
        <v>74497.7103749705</v>
      </c>
      <c r="H491" s="4">
        <f t="shared" si="98"/>
        <v>7139.64</v>
      </c>
      <c r="I491" s="11">
        <v>4159.0046</v>
      </c>
      <c r="J491" s="11">
        <v>81433.2894949567</v>
      </c>
      <c r="K491" s="4">
        <f t="shared" si="99"/>
        <v>7763.38</v>
      </c>
    </row>
    <row r="492" spans="1:11">
      <c r="A492" s="1" t="s">
        <v>9</v>
      </c>
      <c r="B492" s="1">
        <v>2044</v>
      </c>
      <c r="C492" s="10">
        <v>4022.2798</v>
      </c>
      <c r="D492" s="11">
        <v>76631.896936762</v>
      </c>
      <c r="E492" s="3">
        <f t="shared" si="97"/>
        <v>7644.73</v>
      </c>
      <c r="F492" s="11">
        <v>4182.8234</v>
      </c>
      <c r="G492" s="11">
        <v>75715.0238828071</v>
      </c>
      <c r="H492" s="4">
        <f t="shared" si="98"/>
        <v>7139.64</v>
      </c>
      <c r="I492" s="11">
        <v>4161.3968</v>
      </c>
      <c r="J492" s="11">
        <v>83629.7180818941</v>
      </c>
      <c r="K492" s="4">
        <f t="shared" si="99"/>
        <v>7763.38</v>
      </c>
    </row>
    <row r="493" spans="1:11">
      <c r="A493" s="1" t="s">
        <v>9</v>
      </c>
      <c r="B493" s="1">
        <v>2045</v>
      </c>
      <c r="C493" s="10">
        <v>4017.6768</v>
      </c>
      <c r="D493" s="11">
        <v>77973.8462997849</v>
      </c>
      <c r="E493" s="18">
        <v>7782.66</v>
      </c>
      <c r="F493" s="11">
        <v>4183.7254</v>
      </c>
      <c r="G493" s="11">
        <v>76920.4517781397</v>
      </c>
      <c r="H493" s="17">
        <v>7294.19</v>
      </c>
      <c r="I493" s="11">
        <v>4162.6196</v>
      </c>
      <c r="J493" s="11">
        <v>85817.6975361309</v>
      </c>
      <c r="K493" s="17">
        <v>7953.15</v>
      </c>
    </row>
    <row r="494" spans="1:11">
      <c r="A494" s="1" t="s">
        <v>9</v>
      </c>
      <c r="B494" s="1">
        <v>2046</v>
      </c>
      <c r="C494" s="10">
        <v>4011.8595</v>
      </c>
      <c r="D494" s="11">
        <v>79325.0681548118</v>
      </c>
      <c r="E494" s="3">
        <f t="shared" ref="E494:E497" si="100">E493*(1+$L$493)</f>
        <v>7782.66</v>
      </c>
      <c r="F494" s="11">
        <v>4183.4568</v>
      </c>
      <c r="G494" s="11">
        <v>78162.7049201979</v>
      </c>
      <c r="H494" s="4">
        <f t="shared" ref="H494:H497" si="101">H493*(1+M$493)</f>
        <v>7294.19</v>
      </c>
      <c r="I494" s="11">
        <v>4162.6246</v>
      </c>
      <c r="J494" s="11">
        <v>88000.8305782189</v>
      </c>
      <c r="K494" s="4">
        <f t="shared" ref="K494:K497" si="102">K493*(1+N$493)</f>
        <v>7953.15</v>
      </c>
    </row>
    <row r="495" spans="1:11">
      <c r="A495" s="1" t="s">
        <v>9</v>
      </c>
      <c r="B495" s="1">
        <v>2047</v>
      </c>
      <c r="C495" s="10">
        <v>4004.8348</v>
      </c>
      <c r="D495" s="11">
        <v>80666.3414574383</v>
      </c>
      <c r="E495" s="3">
        <f t="shared" si="100"/>
        <v>7782.66</v>
      </c>
      <c r="F495" s="11">
        <v>4181.9683</v>
      </c>
      <c r="G495" s="11">
        <v>79444.0622846055</v>
      </c>
      <c r="H495" s="4">
        <f t="shared" si="101"/>
        <v>7294.19</v>
      </c>
      <c r="I495" s="11">
        <v>4161.422</v>
      </c>
      <c r="J495" s="11">
        <v>90171.4732850329</v>
      </c>
      <c r="K495" s="4">
        <f t="shared" si="102"/>
        <v>7953.15</v>
      </c>
    </row>
    <row r="496" spans="1:11">
      <c r="A496" s="1" t="s">
        <v>9</v>
      </c>
      <c r="B496" s="1">
        <v>2048</v>
      </c>
      <c r="C496" s="10">
        <v>3996.6244</v>
      </c>
      <c r="D496" s="11">
        <v>81967.3809312622</v>
      </c>
      <c r="E496" s="3">
        <f t="shared" si="100"/>
        <v>7782.66</v>
      </c>
      <c r="F496" s="11">
        <v>4179.2179</v>
      </c>
      <c r="G496" s="11">
        <v>80755.194876085</v>
      </c>
      <c r="H496" s="4">
        <f t="shared" si="101"/>
        <v>7294.19</v>
      </c>
      <c r="I496" s="11">
        <v>4159.0375</v>
      </c>
      <c r="J496" s="11">
        <v>92319.1700725285</v>
      </c>
      <c r="K496" s="4">
        <f t="shared" si="102"/>
        <v>7953.15</v>
      </c>
    </row>
    <row r="497" spans="1:11">
      <c r="A497" s="1" t="s">
        <v>9</v>
      </c>
      <c r="B497" s="1">
        <v>2049</v>
      </c>
      <c r="C497" s="10">
        <v>3987.2506</v>
      </c>
      <c r="D497" s="11">
        <v>83197.9012998816</v>
      </c>
      <c r="E497" s="3">
        <f t="shared" si="100"/>
        <v>7782.66</v>
      </c>
      <c r="F497" s="11">
        <v>4175.1636</v>
      </c>
      <c r="G497" s="11">
        <v>82086.7736993586</v>
      </c>
      <c r="H497" s="4">
        <f t="shared" si="101"/>
        <v>7294.19</v>
      </c>
      <c r="I497" s="11">
        <v>4155.4973</v>
      </c>
      <c r="J497" s="11">
        <v>94433.4653566612</v>
      </c>
      <c r="K497" s="4">
        <f t="shared" si="102"/>
        <v>7953.15</v>
      </c>
    </row>
    <row r="498" spans="1:11">
      <c r="A498" s="1" t="s">
        <v>9</v>
      </c>
      <c r="B498" s="1">
        <v>2050</v>
      </c>
      <c r="C498" s="10">
        <v>3976.7361</v>
      </c>
      <c r="D498" s="11">
        <v>84327.6172868943</v>
      </c>
      <c r="E498" s="18">
        <v>7920.02</v>
      </c>
      <c r="F498" s="11">
        <v>4169.7639</v>
      </c>
      <c r="G498" s="11">
        <v>83429.4697591487</v>
      </c>
      <c r="H498" s="17">
        <v>7451.21</v>
      </c>
      <c r="I498" s="11">
        <v>4150.8286</v>
      </c>
      <c r="J498" s="11">
        <v>96503.9035533865</v>
      </c>
      <c r="K498" s="17">
        <v>8144.25</v>
      </c>
    </row>
    <row r="499" spans="1:11">
      <c r="A499" s="1" t="s">
        <v>9</v>
      </c>
      <c r="B499" s="1">
        <v>2051</v>
      </c>
      <c r="C499" s="10">
        <v>3965.1011</v>
      </c>
      <c r="D499" s="11">
        <v>85332.8511632613</v>
      </c>
      <c r="E499" s="18">
        <v>7920.02</v>
      </c>
      <c r="F499" s="11">
        <v>4162.9974</v>
      </c>
      <c r="G499" s="11">
        <v>84773.471135483</v>
      </c>
      <c r="H499" s="17">
        <v>7451.21</v>
      </c>
      <c r="I499" s="11">
        <v>4145.0562</v>
      </c>
      <c r="J499" s="11">
        <v>98515.5082021956</v>
      </c>
      <c r="K499" s="17">
        <v>8144.25</v>
      </c>
    </row>
    <row r="500" spans="1:11">
      <c r="A500" s="1" t="s">
        <v>9</v>
      </c>
      <c r="B500" s="1">
        <v>2052</v>
      </c>
      <c r="C500" s="10">
        <v>3952.356</v>
      </c>
      <c r="D500" s="11">
        <v>86216.3553893948</v>
      </c>
      <c r="E500" s="18">
        <v>7920.02</v>
      </c>
      <c r="F500" s="11">
        <v>4154.9219</v>
      </c>
      <c r="G500" s="11">
        <v>86107.0342096106</v>
      </c>
      <c r="H500" s="17">
        <v>7451.21</v>
      </c>
      <c r="I500" s="11">
        <v>4138.195</v>
      </c>
      <c r="J500" s="11">
        <v>100435.219336721</v>
      </c>
      <c r="K500" s="17">
        <v>8144.25</v>
      </c>
    </row>
    <row r="501" spans="1:11">
      <c r="A501" s="1" t="s">
        <v>9</v>
      </c>
      <c r="B501" s="1">
        <v>2053</v>
      </c>
      <c r="C501" s="10">
        <v>3938.5092</v>
      </c>
      <c r="D501" s="11">
        <v>86987.48997307</v>
      </c>
      <c r="E501" s="18">
        <v>7920.02</v>
      </c>
      <c r="F501" s="11">
        <v>4145.6149</v>
      </c>
      <c r="G501" s="11">
        <v>87417.9324380859</v>
      </c>
      <c r="H501" s="17">
        <v>7451.21</v>
      </c>
      <c r="I501" s="11">
        <v>4130.2583</v>
      </c>
      <c r="J501" s="11">
        <v>102225.456114132</v>
      </c>
      <c r="K501" s="17">
        <v>8144.25</v>
      </c>
    </row>
    <row r="502" spans="1:11">
      <c r="A502" s="1" t="s">
        <v>9</v>
      </c>
      <c r="B502" s="1">
        <v>2054</v>
      </c>
      <c r="C502" s="10">
        <v>3923.5692</v>
      </c>
      <c r="D502" s="11">
        <v>87655.614922062</v>
      </c>
      <c r="E502" s="18">
        <v>7920.02</v>
      </c>
      <c r="F502" s="11">
        <v>4135.1536</v>
      </c>
      <c r="G502" s="11">
        <v>88693.9392774635</v>
      </c>
      <c r="H502" s="17">
        <v>7451.21</v>
      </c>
      <c r="I502" s="11">
        <v>4121.2607</v>
      </c>
      <c r="J502" s="11">
        <v>103848.637691595</v>
      </c>
      <c r="K502" s="17">
        <v>8144.25</v>
      </c>
    </row>
    <row r="503" spans="1:11">
      <c r="A503" s="1" t="s">
        <v>9</v>
      </c>
      <c r="B503" s="1">
        <v>2055</v>
      </c>
      <c r="C503" s="10">
        <v>3907.5452</v>
      </c>
      <c r="D503" s="11">
        <v>88230.0902441461</v>
      </c>
      <c r="E503" s="18">
        <v>7920.02</v>
      </c>
      <c r="F503" s="11">
        <v>4123.6149</v>
      </c>
      <c r="G503" s="11">
        <v>89922.8281842977</v>
      </c>
      <c r="H503" s="17">
        <v>7451.21</v>
      </c>
      <c r="I503" s="11">
        <v>4111.2181</v>
      </c>
      <c r="J503" s="11">
        <v>105267.18322628</v>
      </c>
      <c r="K503" s="17">
        <v>8144.25</v>
      </c>
    </row>
    <row r="504" spans="1:11">
      <c r="A504" s="1" t="s">
        <v>9</v>
      </c>
      <c r="B504" s="1">
        <v>2056</v>
      </c>
      <c r="C504" s="10">
        <v>3890.4552</v>
      </c>
      <c r="D504" s="11">
        <v>88723.6381024662</v>
      </c>
      <c r="E504" s="18">
        <v>7920.02</v>
      </c>
      <c r="F504" s="11">
        <v>4111.0856</v>
      </c>
      <c r="G504" s="11">
        <v>91094.9705160271</v>
      </c>
      <c r="H504" s="17">
        <v>7451.21</v>
      </c>
      <c r="I504" s="11">
        <v>4100.1555</v>
      </c>
      <c r="J504" s="11">
        <v>106467.374971868</v>
      </c>
      <c r="K504" s="17">
        <v>8144.25</v>
      </c>
    </row>
    <row r="505" spans="1:11">
      <c r="A505" s="1" t="s">
        <v>9</v>
      </c>
      <c r="B505" s="1">
        <v>2057</v>
      </c>
      <c r="C505" s="10">
        <v>3872.3522</v>
      </c>
      <c r="D505" s="11">
        <v>89162.4292816422</v>
      </c>
      <c r="E505" s="18">
        <v>7920.02</v>
      </c>
      <c r="F505" s="11">
        <v>4097.696</v>
      </c>
      <c r="G505" s="11">
        <v>92211.1292336264</v>
      </c>
      <c r="H505" s="17">
        <v>7451.21</v>
      </c>
      <c r="I505" s="11">
        <v>4088.1305</v>
      </c>
      <c r="J505" s="11">
        <v>107530.947568095</v>
      </c>
      <c r="K505" s="17">
        <v>8144.25</v>
      </c>
    </row>
    <row r="506" spans="1:11">
      <c r="A506" s="1" t="s">
        <v>9</v>
      </c>
      <c r="B506" s="1">
        <v>2058</v>
      </c>
      <c r="C506" s="10">
        <v>3853.2978</v>
      </c>
      <c r="D506" s="11">
        <v>89575.9967216624</v>
      </c>
      <c r="E506" s="18">
        <v>7920.02</v>
      </c>
      <c r="F506" s="11">
        <v>4083.5869</v>
      </c>
      <c r="G506" s="11">
        <v>93274.6651989546</v>
      </c>
      <c r="H506" s="17">
        <v>7451.21</v>
      </c>
      <c r="I506" s="11">
        <v>4075.2097</v>
      </c>
      <c r="J506" s="11">
        <v>108563.498751209</v>
      </c>
      <c r="K506" s="17">
        <v>8144.25</v>
      </c>
    </row>
    <row r="507" spans="1:11">
      <c r="A507" s="1" t="s">
        <v>9</v>
      </c>
      <c r="B507" s="1">
        <v>2059</v>
      </c>
      <c r="C507" s="10">
        <v>3833.3541</v>
      </c>
      <c r="D507" s="11">
        <v>89993.8733625153</v>
      </c>
      <c r="E507" s="18">
        <v>7920.02</v>
      </c>
      <c r="F507" s="11">
        <v>4068.8987</v>
      </c>
      <c r="G507" s="11">
        <v>94288.9392738705</v>
      </c>
      <c r="H507" s="17">
        <v>7451.21</v>
      </c>
      <c r="I507" s="11">
        <v>4061.4601</v>
      </c>
      <c r="J507" s="11">
        <v>109670.626257461</v>
      </c>
      <c r="K507" s="17">
        <v>8144.25</v>
      </c>
    </row>
    <row r="508" spans="1:11">
      <c r="A508" s="1" t="s">
        <v>9</v>
      </c>
      <c r="B508" s="1">
        <v>2060</v>
      </c>
      <c r="C508" s="10">
        <v>3812.5831</v>
      </c>
      <c r="D508" s="11">
        <v>90445.5921441896</v>
      </c>
      <c r="E508" s="18">
        <v>7920.02</v>
      </c>
      <c r="F508" s="11">
        <v>4053.7718</v>
      </c>
      <c r="G508" s="11">
        <v>95257.3123202329</v>
      </c>
      <c r="H508" s="17">
        <v>7451.21</v>
      </c>
      <c r="I508" s="11">
        <v>4046.9499</v>
      </c>
      <c r="J508" s="11">
        <v>110957.9278231</v>
      </c>
      <c r="K508" s="17">
        <v>8144.25</v>
      </c>
    </row>
    <row r="509" spans="1:11">
      <c r="A509" s="1" t="s">
        <v>9</v>
      </c>
      <c r="B509" s="1">
        <v>2061</v>
      </c>
      <c r="C509" s="10">
        <v>3791.0466</v>
      </c>
      <c r="D509" s="11">
        <v>90954.0170471792</v>
      </c>
      <c r="E509" s="18">
        <v>7920.02</v>
      </c>
      <c r="F509" s="11">
        <v>4038.345</v>
      </c>
      <c r="G509" s="11">
        <v>96180.8930776245</v>
      </c>
      <c r="H509" s="17">
        <v>7451.21</v>
      </c>
      <c r="I509" s="11">
        <v>4031.7455</v>
      </c>
      <c r="J509" s="11">
        <v>112501.513493799</v>
      </c>
      <c r="K509" s="17">
        <v>8144.25</v>
      </c>
    </row>
    <row r="510" spans="1:11">
      <c r="A510" s="1" t="s">
        <v>9</v>
      </c>
      <c r="B510" s="1">
        <v>2062</v>
      </c>
      <c r="C510" s="10">
        <v>3768.8056</v>
      </c>
      <c r="D510" s="11">
        <v>91515.3362140007</v>
      </c>
      <c r="E510" s="18">
        <v>7920.02</v>
      </c>
      <c r="F510" s="11">
        <v>4022.7532</v>
      </c>
      <c r="G510" s="11">
        <v>97051.7817965239</v>
      </c>
      <c r="H510" s="17">
        <v>7451.21</v>
      </c>
      <c r="I510" s="11">
        <v>4015.902</v>
      </c>
      <c r="J510" s="11">
        <v>114259.542552934</v>
      </c>
      <c r="K510" s="17">
        <v>8144.25</v>
      </c>
    </row>
    <row r="511" spans="1:11">
      <c r="A511" s="1" t="s">
        <v>9</v>
      </c>
      <c r="B511" s="1">
        <v>2063</v>
      </c>
      <c r="C511" s="10">
        <v>3745.9197</v>
      </c>
      <c r="D511" s="11">
        <v>92119.068827676</v>
      </c>
      <c r="E511" s="18">
        <v>7920.02</v>
      </c>
      <c r="F511" s="11">
        <v>4007.1307</v>
      </c>
      <c r="G511" s="11">
        <v>97859.8266051333</v>
      </c>
      <c r="H511" s="17">
        <v>7451.21</v>
      </c>
      <c r="I511" s="11">
        <v>3999.4698</v>
      </c>
      <c r="J511" s="11">
        <v>116160.686593304</v>
      </c>
      <c r="K511" s="17">
        <v>8144.25</v>
      </c>
    </row>
    <row r="512" spans="1:11">
      <c r="A512" s="1" t="s">
        <v>9</v>
      </c>
      <c r="B512" s="1">
        <v>2064</v>
      </c>
      <c r="C512" s="10">
        <v>3722.4472</v>
      </c>
      <c r="D512" s="11">
        <v>92754.7340712271</v>
      </c>
      <c r="E512" s="18">
        <v>7920.02</v>
      </c>
      <c r="F512" s="11">
        <v>3991.6126</v>
      </c>
      <c r="G512" s="11">
        <v>98594.875631655</v>
      </c>
      <c r="H512" s="17">
        <v>7451.21</v>
      </c>
      <c r="I512" s="11">
        <v>3982.4967</v>
      </c>
      <c r="J512" s="11">
        <v>118133.617207708</v>
      </c>
      <c r="K512" s="17">
        <v>8144.25</v>
      </c>
    </row>
    <row r="513" spans="1:11">
      <c r="A513" s="1" t="s">
        <v>9</v>
      </c>
      <c r="B513" s="1">
        <v>2065</v>
      </c>
      <c r="C513" s="10">
        <v>3698.4456</v>
      </c>
      <c r="D513" s="11">
        <v>93411.851127676</v>
      </c>
      <c r="E513" s="18">
        <v>7920.02</v>
      </c>
      <c r="F513" s="11">
        <v>3976.3352</v>
      </c>
      <c r="G513" s="11">
        <v>99246.7770042913</v>
      </c>
      <c r="H513" s="17">
        <v>7451.21</v>
      </c>
      <c r="I513" s="11">
        <v>3965.0282</v>
      </c>
      <c r="J513" s="11">
        <v>120107.005988947</v>
      </c>
      <c r="K513" s="17">
        <v>8144.25</v>
      </c>
    </row>
    <row r="514" spans="1:11">
      <c r="A514" s="1" t="s">
        <v>9</v>
      </c>
      <c r="B514" s="1">
        <v>2066</v>
      </c>
      <c r="C514" s="10">
        <v>3673.9846</v>
      </c>
      <c r="D514" s="11">
        <v>94073.7602383992</v>
      </c>
      <c r="E514" s="18">
        <v>7920.02</v>
      </c>
      <c r="F514" s="11">
        <v>3961.3983</v>
      </c>
      <c r="G514" s="11">
        <v>99807.7826902958</v>
      </c>
      <c r="H514" s="17">
        <v>7451.21</v>
      </c>
      <c r="I514" s="11">
        <v>3947.1223</v>
      </c>
      <c r="J514" s="11">
        <v>122013.414017172</v>
      </c>
      <c r="K514" s="17">
        <v>8144.25</v>
      </c>
    </row>
    <row r="515" spans="1:11">
      <c r="A515" s="1" t="s">
        <v>9</v>
      </c>
      <c r="B515" s="1">
        <v>2067</v>
      </c>
      <c r="C515" s="10">
        <v>3649.1882</v>
      </c>
      <c r="D515" s="11">
        <v>94699.0858781907</v>
      </c>
      <c r="E515" s="18">
        <v>7920.02</v>
      </c>
      <c r="F515" s="11">
        <v>3946.7497</v>
      </c>
      <c r="G515" s="11">
        <v>100279.760013126</v>
      </c>
      <c r="H515" s="17">
        <v>7451.21</v>
      </c>
      <c r="I515" s="11">
        <v>3928.8946</v>
      </c>
      <c r="J515" s="11">
        <v>123800.960321937</v>
      </c>
      <c r="K515" s="17">
        <v>8144.25</v>
      </c>
    </row>
    <row r="516" spans="1:11">
      <c r="A516" s="1" t="s">
        <v>9</v>
      </c>
      <c r="B516" s="1">
        <v>2068</v>
      </c>
      <c r="C516" s="10">
        <v>3624.194</v>
      </c>
      <c r="D516" s="11">
        <v>95240.2735801991</v>
      </c>
      <c r="E516" s="18">
        <v>7920.02</v>
      </c>
      <c r="F516" s="11">
        <v>3932.2984</v>
      </c>
      <c r="G516" s="11">
        <v>100666.98013529</v>
      </c>
      <c r="H516" s="17">
        <v>7451.21</v>
      </c>
      <c r="I516" s="11">
        <v>3910.474</v>
      </c>
      <c r="J516" s="11">
        <v>125421.653420149</v>
      </c>
      <c r="K516" s="17">
        <v>8144.25</v>
      </c>
    </row>
    <row r="517" spans="1:11">
      <c r="A517" s="1" t="s">
        <v>9</v>
      </c>
      <c r="B517" s="1">
        <v>2069</v>
      </c>
      <c r="C517" s="10">
        <v>3599.1396</v>
      </c>
      <c r="D517" s="11">
        <v>95649.7688775728</v>
      </c>
      <c r="E517" s="18">
        <v>7920.02</v>
      </c>
      <c r="F517" s="11">
        <v>3917.952</v>
      </c>
      <c r="G517" s="11">
        <v>100973.714219298</v>
      </c>
      <c r="H517" s="17">
        <v>7451.21</v>
      </c>
      <c r="I517" s="11">
        <v>3891.9871</v>
      </c>
      <c r="J517" s="11">
        <v>126827.501828714</v>
      </c>
      <c r="K517" s="17">
        <v>8144.25</v>
      </c>
    </row>
    <row r="518" spans="1:11">
      <c r="A518" s="1" t="s">
        <v>9</v>
      </c>
      <c r="B518" s="1">
        <v>2070</v>
      </c>
      <c r="C518" s="10">
        <v>3574.1626</v>
      </c>
      <c r="D518" s="11">
        <v>95880.0173034604</v>
      </c>
      <c r="E518" s="18">
        <v>7920.02</v>
      </c>
      <c r="F518" s="11">
        <v>3903.6167</v>
      </c>
      <c r="G518" s="11">
        <v>101204.233427658</v>
      </c>
      <c r="H518" s="17">
        <v>7451.21</v>
      </c>
      <c r="I518" s="11">
        <v>3873.5583</v>
      </c>
      <c r="J518" s="11">
        <v>127970.514064539</v>
      </c>
      <c r="K518" s="17">
        <v>8144.25</v>
      </c>
    </row>
    <row r="519" spans="1:11">
      <c r="A519" s="1" t="s">
        <v>9</v>
      </c>
      <c r="B519" s="1">
        <v>2071</v>
      </c>
      <c r="C519" s="10">
        <v>3549.3523</v>
      </c>
      <c r="D519" s="11">
        <v>95911.52701823</v>
      </c>
      <c r="E519" s="18">
        <v>7920.02</v>
      </c>
      <c r="F519" s="11">
        <v>3889.2113</v>
      </c>
      <c r="G519" s="11">
        <v>101365.927039749</v>
      </c>
      <c r="H519" s="17">
        <v>7451.21</v>
      </c>
      <c r="I519" s="11">
        <v>3855.2641</v>
      </c>
      <c r="J519" s="11">
        <v>128838.222551623</v>
      </c>
      <c r="K519" s="17">
        <v>8144.25</v>
      </c>
    </row>
    <row r="520" spans="1:11">
      <c r="A520" s="1" t="s">
        <v>9</v>
      </c>
      <c r="B520" s="1">
        <v>2072</v>
      </c>
      <c r="C520" s="10">
        <v>3524.6026</v>
      </c>
      <c r="D520" s="11">
        <v>95837.0566911272</v>
      </c>
      <c r="E520" s="18">
        <v>7920.02</v>
      </c>
      <c r="F520" s="11">
        <v>3874.7076</v>
      </c>
      <c r="G520" s="11">
        <v>101478.656802439</v>
      </c>
      <c r="H520" s="17">
        <v>7451.21</v>
      </c>
      <c r="I520" s="11">
        <v>3836.997</v>
      </c>
      <c r="J520" s="11">
        <v>129560.25534234</v>
      </c>
      <c r="K520" s="17">
        <v>8144.25</v>
      </c>
    </row>
    <row r="521" spans="1:11">
      <c r="A521" s="1" t="s">
        <v>9</v>
      </c>
      <c r="B521" s="1">
        <v>2073</v>
      </c>
      <c r="C521" s="10">
        <v>3499.758</v>
      </c>
      <c r="D521" s="11">
        <v>95777.4276186174</v>
      </c>
      <c r="E521" s="18">
        <v>7920.02</v>
      </c>
      <c r="F521" s="11">
        <v>3860.0915</v>
      </c>
      <c r="G521" s="11">
        <v>101565.402579464</v>
      </c>
      <c r="H521" s="17">
        <v>7451.21</v>
      </c>
      <c r="I521" s="11">
        <v>3818.604</v>
      </c>
      <c r="J521" s="11">
        <v>130301.764396154</v>
      </c>
      <c r="K521" s="17">
        <v>8144.25</v>
      </c>
    </row>
    <row r="522" spans="1:11">
      <c r="A522" s="1" t="s">
        <v>9</v>
      </c>
      <c r="B522" s="1">
        <v>2074</v>
      </c>
      <c r="C522" s="10">
        <v>3474.6628</v>
      </c>
      <c r="D522" s="11">
        <v>95853.4610971656</v>
      </c>
      <c r="E522" s="18">
        <v>7920.02</v>
      </c>
      <c r="F522" s="11">
        <v>3845.3497</v>
      </c>
      <c r="G522" s="11">
        <v>101649.144234561</v>
      </c>
      <c r="H522" s="17">
        <v>7451.21</v>
      </c>
      <c r="I522" s="11">
        <v>3799.9327</v>
      </c>
      <c r="J522" s="11">
        <v>131227.901672534</v>
      </c>
      <c r="K522" s="17">
        <v>8144.25</v>
      </c>
    </row>
    <row r="523" spans="1:11">
      <c r="A523" s="1" t="s">
        <v>9</v>
      </c>
      <c r="B523" s="1">
        <v>2075</v>
      </c>
      <c r="C523" s="10">
        <v>3449.1608</v>
      </c>
      <c r="D523" s="11">
        <v>96185.9784232374</v>
      </c>
      <c r="E523" s="18">
        <v>7920.02</v>
      </c>
      <c r="F523" s="11">
        <v>3830.4693</v>
      </c>
      <c r="G523" s="11">
        <v>101752.86163147</v>
      </c>
      <c r="H523" s="17">
        <v>7451.21</v>
      </c>
      <c r="I523" s="11">
        <v>3780.831</v>
      </c>
      <c r="J523" s="11">
        <v>132503.819130945</v>
      </c>
      <c r="K523" s="17">
        <v>8144.25</v>
      </c>
    </row>
    <row r="524" spans="1:11">
      <c r="A524" s="1" t="s">
        <v>9</v>
      </c>
      <c r="B524" s="1">
        <v>2076</v>
      </c>
      <c r="C524" s="10">
        <v>3423.052</v>
      </c>
      <c r="D524" s="11">
        <v>96853.4066900739</v>
      </c>
      <c r="E524" s="18">
        <v>7920.02</v>
      </c>
      <c r="F524" s="11">
        <v>3815.4289</v>
      </c>
      <c r="G524" s="11">
        <v>101888.040225535</v>
      </c>
      <c r="H524" s="17">
        <v>7451.21</v>
      </c>
      <c r="I524" s="11">
        <v>3761.0997</v>
      </c>
      <c r="J524" s="11">
        <v>134233.32004437</v>
      </c>
      <c r="K524" s="17">
        <v>8144.25</v>
      </c>
    </row>
    <row r="525" spans="1:11">
      <c r="A525" s="1" t="s">
        <v>9</v>
      </c>
      <c r="B525" s="1">
        <v>2077</v>
      </c>
      <c r="C525" s="10">
        <v>3395.9629</v>
      </c>
      <c r="D525" s="11">
        <v>97764.5961780213</v>
      </c>
      <c r="E525" s="18">
        <v>7920.02</v>
      </c>
      <c r="F525" s="11">
        <v>3800.1703</v>
      </c>
      <c r="G525" s="11">
        <v>102020.187838545</v>
      </c>
      <c r="H525" s="17">
        <v>7451.21</v>
      </c>
      <c r="I525" s="11">
        <v>3740.3485</v>
      </c>
      <c r="J525" s="11">
        <v>136274.812939861</v>
      </c>
      <c r="K525" s="17">
        <v>8144.25</v>
      </c>
    </row>
    <row r="526" spans="1:11">
      <c r="A526" s="1" t="s">
        <v>9</v>
      </c>
      <c r="B526" s="1">
        <v>2078</v>
      </c>
      <c r="C526" s="10">
        <v>3367.477</v>
      </c>
      <c r="D526" s="11">
        <v>98786.0029642017</v>
      </c>
      <c r="E526" s="18">
        <v>7920.02</v>
      </c>
      <c r="F526" s="11">
        <v>3784.6253</v>
      </c>
      <c r="G526" s="11">
        <v>102103.317883895</v>
      </c>
      <c r="H526" s="17">
        <v>7451.21</v>
      </c>
      <c r="I526" s="11">
        <v>3718.1434</v>
      </c>
      <c r="J526" s="11">
        <v>138425.357657988</v>
      </c>
      <c r="K526" s="17">
        <v>8144.25</v>
      </c>
    </row>
    <row r="527" spans="1:11">
      <c r="A527" s="1" t="s">
        <v>9</v>
      </c>
      <c r="B527" s="1">
        <v>2079</v>
      </c>
      <c r="C527" s="10">
        <v>3337.178</v>
      </c>
      <c r="D527" s="11">
        <v>99784.0831257375</v>
      </c>
      <c r="E527" s="18">
        <v>7920.02</v>
      </c>
      <c r="F527" s="11">
        <v>3768.7249</v>
      </c>
      <c r="G527" s="11">
        <v>102091.443774982</v>
      </c>
      <c r="H527" s="17">
        <v>7451.21</v>
      </c>
      <c r="I527" s="11">
        <v>3694.055</v>
      </c>
      <c r="J527" s="11">
        <v>140482.014039319</v>
      </c>
      <c r="K527" s="17">
        <v>8144.25</v>
      </c>
    </row>
    <row r="528" spans="1:11">
      <c r="A528" s="1" t="s">
        <v>9</v>
      </c>
      <c r="B528" s="1">
        <v>2080</v>
      </c>
      <c r="C528" s="10">
        <v>3304.6498</v>
      </c>
      <c r="D528" s="11">
        <v>100625.292739751</v>
      </c>
      <c r="E528" s="18">
        <v>7920.02</v>
      </c>
      <c r="F528" s="11">
        <v>3752.3996</v>
      </c>
      <c r="G528" s="11">
        <v>101938.578925203</v>
      </c>
      <c r="H528" s="17">
        <v>7451.21</v>
      </c>
      <c r="I528" s="11">
        <v>3667.6592</v>
      </c>
      <c r="J528" s="11">
        <v>142241.841924423</v>
      </c>
      <c r="K528" s="17">
        <v>8144.25</v>
      </c>
    </row>
    <row r="529" spans="1:11">
      <c r="A529" s="1" t="s">
        <v>9</v>
      </c>
      <c r="B529" s="1">
        <v>2081</v>
      </c>
      <c r="C529" s="10">
        <v>3269.6663</v>
      </c>
      <c r="D529" s="11">
        <v>101205.595735636</v>
      </c>
      <c r="E529" s="18">
        <v>7920.02</v>
      </c>
      <c r="F529" s="11">
        <v>3735.6434</v>
      </c>
      <c r="G529" s="11">
        <v>101620.773680951</v>
      </c>
      <c r="H529" s="17">
        <v>7451.21</v>
      </c>
      <c r="I529" s="11">
        <v>3638.7365</v>
      </c>
      <c r="J529" s="11">
        <v>143561.235904764</v>
      </c>
      <c r="K529" s="17">
        <v>8144.25</v>
      </c>
    </row>
    <row r="530" spans="1:11">
      <c r="A530" s="1" t="s">
        <v>9</v>
      </c>
      <c r="B530" s="1">
        <v>2082</v>
      </c>
      <c r="C530" s="10">
        <v>3232.7629</v>
      </c>
      <c r="D530" s="11">
        <v>101538.987451872</v>
      </c>
      <c r="E530" s="18">
        <v>7920.02</v>
      </c>
      <c r="F530" s="11">
        <v>3718.7112</v>
      </c>
      <c r="G530" s="11">
        <v>101202.226120608</v>
      </c>
      <c r="H530" s="17">
        <v>7451.21</v>
      </c>
      <c r="I530" s="11">
        <v>3607.8664</v>
      </c>
      <c r="J530" s="11">
        <v>144533.929575385</v>
      </c>
      <c r="K530" s="17">
        <v>8144.25</v>
      </c>
    </row>
    <row r="531" spans="1:11">
      <c r="A531" s="1" t="s">
        <v>9</v>
      </c>
      <c r="B531" s="1">
        <v>2083</v>
      </c>
      <c r="C531" s="10">
        <v>3194.6672</v>
      </c>
      <c r="D531" s="11">
        <v>101668.971079213</v>
      </c>
      <c r="E531" s="18">
        <v>7920.02</v>
      </c>
      <c r="F531" s="11">
        <v>3701.926</v>
      </c>
      <c r="G531" s="11">
        <v>100769.171255553</v>
      </c>
      <c r="H531" s="17">
        <v>7451.21</v>
      </c>
      <c r="I531" s="11">
        <v>3575.8266</v>
      </c>
      <c r="J531" s="11">
        <v>145312.991282222</v>
      </c>
      <c r="K531" s="17">
        <v>8144.25</v>
      </c>
    </row>
    <row r="532" spans="1:11">
      <c r="A532" s="1" t="s">
        <v>9</v>
      </c>
      <c r="B532" s="1">
        <v>2084</v>
      </c>
      <c r="C532" s="10">
        <v>3156.109</v>
      </c>
      <c r="D532" s="11">
        <v>101639.04980841</v>
      </c>
      <c r="E532" s="18">
        <v>7920.02</v>
      </c>
      <c r="F532" s="11">
        <v>3685.6156</v>
      </c>
      <c r="G532" s="11">
        <v>100407.844097166</v>
      </c>
      <c r="H532" s="17">
        <v>7451.21</v>
      </c>
      <c r="I532" s="11">
        <v>3543.3926</v>
      </c>
      <c r="J532" s="11">
        <v>146051.489371213</v>
      </c>
      <c r="K532" s="17">
        <v>8144.25</v>
      </c>
    </row>
    <row r="533" spans="1:11">
      <c r="A533" s="1" t="s">
        <v>9</v>
      </c>
      <c r="B533" s="1">
        <v>2085</v>
      </c>
      <c r="C533" s="10">
        <v>3117.8209</v>
      </c>
      <c r="D533" s="11">
        <v>101492.726830215</v>
      </c>
      <c r="E533" s="18">
        <v>7920.02</v>
      </c>
      <c r="F533" s="11">
        <v>3670.1124</v>
      </c>
      <c r="G533" s="11">
        <v>100204.479656827</v>
      </c>
      <c r="H533" s="17">
        <v>7451.21</v>
      </c>
      <c r="I533" s="11">
        <v>3511.3374</v>
      </c>
      <c r="J533" s="11">
        <v>146902.492188296</v>
      </c>
      <c r="K533" s="17">
        <v>8144.25</v>
      </c>
    </row>
    <row r="534" spans="1:11">
      <c r="A534" s="1" t="s">
        <v>9</v>
      </c>
      <c r="B534" s="1">
        <v>2086</v>
      </c>
      <c r="C534" s="10">
        <v>3080.4404</v>
      </c>
      <c r="D534" s="11">
        <v>101268.166835163</v>
      </c>
      <c r="E534" s="18">
        <v>7920.02</v>
      </c>
      <c r="F534" s="11">
        <v>3655.6862</v>
      </c>
      <c r="G534" s="11">
        <v>100217.595165997</v>
      </c>
      <c r="H534" s="17">
        <v>7451.21</v>
      </c>
      <c r="I534" s="11">
        <v>3480.316</v>
      </c>
      <c r="J534" s="11">
        <v>147976.27007353</v>
      </c>
      <c r="K534" s="17">
        <v>8144.25</v>
      </c>
    </row>
    <row r="535" spans="1:11">
      <c r="A535" s="1" t="s">
        <v>9</v>
      </c>
      <c r="B535" s="1">
        <v>2087</v>
      </c>
      <c r="C535" s="10">
        <v>3044.2142</v>
      </c>
      <c r="D535" s="11">
        <v>100982.180512919</v>
      </c>
      <c r="E535" s="18">
        <v>7920.02</v>
      </c>
      <c r="F535" s="11">
        <v>3642.3395</v>
      </c>
      <c r="G535" s="11">
        <v>100394.836736471</v>
      </c>
      <c r="H535" s="17">
        <v>7451.21</v>
      </c>
      <c r="I535" s="11">
        <v>3450.5207</v>
      </c>
      <c r="J535" s="11">
        <v>149211.901343471</v>
      </c>
      <c r="K535" s="17">
        <v>8144.25</v>
      </c>
    </row>
    <row r="536" spans="1:11">
      <c r="A536" s="1" t="s">
        <v>9</v>
      </c>
      <c r="B536" s="1">
        <v>2088</v>
      </c>
      <c r="C536" s="10">
        <v>3009.2899</v>
      </c>
      <c r="D536" s="11">
        <v>100646.240052931</v>
      </c>
      <c r="E536" s="18">
        <v>7920.02</v>
      </c>
      <c r="F536" s="11">
        <v>3630.0044</v>
      </c>
      <c r="G536" s="11">
        <v>100656.132700128</v>
      </c>
      <c r="H536" s="17">
        <v>7451.21</v>
      </c>
      <c r="I536" s="11">
        <v>3422.0227</v>
      </c>
      <c r="J536" s="11">
        <v>150505.666308797</v>
      </c>
      <c r="K536" s="17">
        <v>8144.25</v>
      </c>
    </row>
    <row r="537" spans="1:11">
      <c r="A537" s="1" t="s">
        <v>9</v>
      </c>
      <c r="B537" s="1">
        <v>2089</v>
      </c>
      <c r="C537" s="10">
        <v>2975.8132</v>
      </c>
      <c r="D537" s="11">
        <v>100271.817644647</v>
      </c>
      <c r="E537" s="18">
        <v>7920.02</v>
      </c>
      <c r="F537" s="11">
        <v>3618.6096</v>
      </c>
      <c r="G537" s="11">
        <v>100921.411388844</v>
      </c>
      <c r="H537" s="17">
        <v>7451.21</v>
      </c>
      <c r="I537" s="11">
        <v>3394.8862</v>
      </c>
      <c r="J537" s="11">
        <v>151753.845280185</v>
      </c>
      <c r="K537" s="17">
        <v>8144.25</v>
      </c>
    </row>
    <row r="538" spans="1:11">
      <c r="A538" s="1" t="s">
        <v>9</v>
      </c>
      <c r="B538" s="1">
        <v>2090</v>
      </c>
      <c r="C538" s="10">
        <v>2943.9279</v>
      </c>
      <c r="D538" s="11">
        <v>99870.3854775144</v>
      </c>
      <c r="E538" s="18">
        <v>7920.02</v>
      </c>
      <c r="F538" s="11">
        <v>3608.0802</v>
      </c>
      <c r="G538" s="11">
        <v>101110.601134497</v>
      </c>
      <c r="H538" s="17">
        <v>7451.21</v>
      </c>
      <c r="I538" s="11">
        <v>3369.1684</v>
      </c>
      <c r="J538" s="11">
        <v>152852.718568314</v>
      </c>
      <c r="K538" s="17">
        <v>8144.25</v>
      </c>
    </row>
    <row r="539" spans="1:11">
      <c r="A539" s="1" t="s">
        <v>9</v>
      </c>
      <c r="B539" s="1">
        <v>2091</v>
      </c>
      <c r="C539" s="10">
        <v>2913.7588</v>
      </c>
      <c r="D539" s="11">
        <v>99456.785013033</v>
      </c>
      <c r="E539" s="18">
        <v>7920.02</v>
      </c>
      <c r="F539" s="11">
        <v>3598.3551</v>
      </c>
      <c r="G539" s="11">
        <v>101168.233401243</v>
      </c>
      <c r="H539" s="17">
        <v>7451.21</v>
      </c>
      <c r="I539" s="11">
        <v>3344.9231</v>
      </c>
      <c r="J539" s="11">
        <v>153725.945644528</v>
      </c>
      <c r="K539" s="17">
        <v>8144.25</v>
      </c>
    </row>
    <row r="540" spans="1:11">
      <c r="A540" s="1" t="s">
        <v>9</v>
      </c>
      <c r="B540" s="1">
        <v>2092</v>
      </c>
      <c r="C540" s="10">
        <v>2885.3609</v>
      </c>
      <c r="D540" s="11">
        <v>99059.3348009073</v>
      </c>
      <c r="E540" s="18">
        <v>7920.02</v>
      </c>
      <c r="F540" s="11">
        <v>3589.4396</v>
      </c>
      <c r="G540" s="11">
        <v>101137.252182347</v>
      </c>
      <c r="H540" s="17">
        <v>7451.21</v>
      </c>
      <c r="I540" s="11">
        <v>3322.2142</v>
      </c>
      <c r="J540" s="11">
        <v>154406.702622842</v>
      </c>
      <c r="K540" s="17">
        <v>8144.25</v>
      </c>
    </row>
    <row r="541" spans="1:11">
      <c r="A541" s="1" t="s">
        <v>9</v>
      </c>
      <c r="B541" s="1">
        <v>2093</v>
      </c>
      <c r="C541" s="10">
        <v>2858.7745</v>
      </c>
      <c r="D541" s="11">
        <v>98709.7226628936</v>
      </c>
      <c r="E541" s="18">
        <v>7920.02</v>
      </c>
      <c r="F541" s="11">
        <v>3581.359</v>
      </c>
      <c r="G541" s="11">
        <v>101085.204603355</v>
      </c>
      <c r="H541" s="17">
        <v>7451.21</v>
      </c>
      <c r="I541" s="11">
        <v>3301.1135</v>
      </c>
      <c r="J541" s="11">
        <v>154955.544777937</v>
      </c>
      <c r="K541" s="17">
        <v>8144.25</v>
      </c>
    </row>
    <row r="542" spans="1:11">
      <c r="A542" s="1" t="s">
        <v>9</v>
      </c>
      <c r="B542" s="1">
        <v>2094</v>
      </c>
      <c r="C542" s="10">
        <v>2834.0431</v>
      </c>
      <c r="D542" s="11">
        <v>98439.6364207481</v>
      </c>
      <c r="E542" s="18">
        <v>7920.02</v>
      </c>
      <c r="F542" s="11">
        <v>3574.1409</v>
      </c>
      <c r="G542" s="11">
        <v>101079.637789808</v>
      </c>
      <c r="H542" s="17">
        <v>7451.21</v>
      </c>
      <c r="I542" s="11">
        <v>3281.6975</v>
      </c>
      <c r="J542" s="11">
        <v>155433.027384493</v>
      </c>
      <c r="K542" s="17">
        <v>8144.25</v>
      </c>
    </row>
    <row r="543" spans="1:11">
      <c r="A543" s="1" t="s">
        <v>9</v>
      </c>
      <c r="B543" s="1">
        <v>2095</v>
      </c>
      <c r="C543" s="10">
        <v>2811.2128</v>
      </c>
      <c r="D543" s="11">
        <v>98280.7638962269</v>
      </c>
      <c r="E543" s="18">
        <v>7920.02</v>
      </c>
      <c r="F543" s="11">
        <v>3567.8159</v>
      </c>
      <c r="G543" s="11">
        <v>101188.098867252</v>
      </c>
      <c r="H543" s="17">
        <v>7451.21</v>
      </c>
      <c r="I543" s="11">
        <v>3264.047</v>
      </c>
      <c r="J543" s="11">
        <v>155899.705717192</v>
      </c>
      <c r="K543" s="17">
        <v>8144.25</v>
      </c>
    </row>
    <row r="544" spans="1:11">
      <c r="A544" s="1" t="s">
        <v>9</v>
      </c>
      <c r="B544" s="1">
        <v>2096</v>
      </c>
      <c r="C544" s="10">
        <v>2790.3316</v>
      </c>
      <c r="D544" s="11">
        <v>98264.7929110865</v>
      </c>
      <c r="E544" s="18">
        <v>7920.02</v>
      </c>
      <c r="F544" s="11">
        <v>3562.4167</v>
      </c>
      <c r="G544" s="11">
        <v>101478.13496123</v>
      </c>
      <c r="H544" s="17">
        <v>7451.21</v>
      </c>
      <c r="I544" s="11">
        <v>3248.2464</v>
      </c>
      <c r="J544" s="11">
        <v>156416.135050714</v>
      </c>
      <c r="K544" s="17">
        <v>8144.25</v>
      </c>
    </row>
    <row r="545" spans="1:11">
      <c r="A545" s="1" t="s">
        <v>9</v>
      </c>
      <c r="B545" s="1">
        <v>2097</v>
      </c>
      <c r="C545" s="10">
        <v>2771.4492</v>
      </c>
      <c r="D545" s="11">
        <v>98423.4112870829</v>
      </c>
      <c r="E545" s="18">
        <v>7920.02</v>
      </c>
      <c r="F545" s="11">
        <v>3557.978</v>
      </c>
      <c r="G545" s="11">
        <v>102017.293197287</v>
      </c>
      <c r="H545" s="17">
        <v>7451.21</v>
      </c>
      <c r="I545" s="11">
        <v>3234.3834</v>
      </c>
      <c r="J545" s="11">
        <v>157042.87065974</v>
      </c>
      <c r="K545" s="17">
        <v>8144.25</v>
      </c>
    </row>
    <row r="546" spans="1:11">
      <c r="A546" s="1" t="s">
        <v>9</v>
      </c>
      <c r="B546" s="1">
        <v>2098</v>
      </c>
      <c r="C546" s="10">
        <v>2754.6162</v>
      </c>
      <c r="D546" s="11">
        <v>98788.3068459723</v>
      </c>
      <c r="E546" s="18">
        <v>7920.02</v>
      </c>
      <c r="F546" s="11">
        <v>3554.5362</v>
      </c>
      <c r="G546" s="11">
        <v>102873.120700965</v>
      </c>
      <c r="H546" s="17">
        <v>7451.21</v>
      </c>
      <c r="I546" s="11">
        <v>3222.5483</v>
      </c>
      <c r="J546" s="11">
        <v>157840.467818952</v>
      </c>
      <c r="K546" s="17">
        <v>8144.25</v>
      </c>
    </row>
    <row r="547" spans="1:11">
      <c r="A547" s="1" t="s">
        <v>9</v>
      </c>
      <c r="B547" s="1">
        <v>2099</v>
      </c>
      <c r="C547" s="10">
        <v>2739.884</v>
      </c>
      <c r="D547" s="11">
        <v>99391.167409511</v>
      </c>
      <c r="E547" s="18">
        <v>7920.02</v>
      </c>
      <c r="F547" s="11">
        <v>3552.1292</v>
      </c>
      <c r="G547" s="11">
        <v>104113.164597808</v>
      </c>
      <c r="H547" s="17">
        <v>7451.21</v>
      </c>
      <c r="I547" s="11">
        <v>3212.8332</v>
      </c>
      <c r="J547" s="11">
        <v>158869.48180303</v>
      </c>
      <c r="K547" s="17">
        <v>8144.25</v>
      </c>
    </row>
    <row r="548" spans="1:11">
      <c r="A548" s="1" t="s">
        <v>9</v>
      </c>
      <c r="B548" s="1">
        <v>2100</v>
      </c>
      <c r="C548" s="10">
        <v>2727.3039</v>
      </c>
      <c r="D548" s="11">
        <v>100263.680799455</v>
      </c>
      <c r="E548" s="18">
        <v>7920.02</v>
      </c>
      <c r="F548" s="11">
        <v>3550.7961</v>
      </c>
      <c r="G548" s="11">
        <v>105804.972013362</v>
      </c>
      <c r="H548" s="17">
        <v>7451.21</v>
      </c>
      <c r="I548" s="11">
        <v>3205.3318</v>
      </c>
      <c r="J548" s="11">
        <v>160190.467886656</v>
      </c>
      <c r="K548" s="17">
        <v>8144.25</v>
      </c>
    </row>
    <row r="549" ht="18" spans="1:11">
      <c r="A549" s="1" t="s">
        <v>27</v>
      </c>
      <c r="B549" s="1">
        <v>2023</v>
      </c>
      <c r="C549" s="10">
        <v>9749.7646</v>
      </c>
      <c r="D549" s="11">
        <v>90685.023811471</v>
      </c>
      <c r="E549" s="16">
        <v>33168.17</v>
      </c>
      <c r="F549" s="11">
        <v>9905.6734</v>
      </c>
      <c r="G549" s="11">
        <v>87559.4986293589</v>
      </c>
      <c r="H549" s="17">
        <v>32188.94</v>
      </c>
      <c r="I549" s="11">
        <v>9740.7817</v>
      </c>
      <c r="J549" s="11">
        <v>93939.1763980396</v>
      </c>
      <c r="K549" s="17">
        <v>33216.43</v>
      </c>
    </row>
    <row r="550" ht="18" spans="1:11">
      <c r="A550" s="1" t="s">
        <v>27</v>
      </c>
      <c r="B550" s="1">
        <v>2024</v>
      </c>
      <c r="C550" s="10">
        <v>9739.2569</v>
      </c>
      <c r="D550" s="11">
        <v>100124.8765422</v>
      </c>
      <c r="E550" s="3">
        <f>(E549+E551)/2</f>
        <v>34583.49</v>
      </c>
      <c r="F550" s="11">
        <v>9909.0993</v>
      </c>
      <c r="G550" s="11">
        <v>97762.9568701902</v>
      </c>
      <c r="H550" s="4">
        <f>(H549+H551)/2</f>
        <v>33303.29</v>
      </c>
      <c r="I550" s="11">
        <v>9728.3126</v>
      </c>
      <c r="J550" s="11">
        <v>103686.029336516</v>
      </c>
      <c r="K550" s="4">
        <f>(K549+K551)/2</f>
        <v>34698.535</v>
      </c>
    </row>
    <row r="551" ht="18" spans="1:11">
      <c r="A551" s="1" t="s">
        <v>27</v>
      </c>
      <c r="B551" s="1">
        <v>2025</v>
      </c>
      <c r="C551" s="10">
        <v>9726.5195</v>
      </c>
      <c r="D551" s="11">
        <v>109763.564285395</v>
      </c>
      <c r="E551" s="16">
        <v>35998.81</v>
      </c>
      <c r="F551" s="11">
        <v>9908.5436</v>
      </c>
      <c r="G551" s="11">
        <v>107968.177252733</v>
      </c>
      <c r="H551" s="17">
        <v>34417.64</v>
      </c>
      <c r="I551" s="11">
        <v>9713.2879</v>
      </c>
      <c r="J551" s="11">
        <v>113499.069998993</v>
      </c>
      <c r="K551" s="17">
        <v>36180.64</v>
      </c>
    </row>
    <row r="552" ht="18" spans="1:11">
      <c r="A552" s="1" t="s">
        <v>27</v>
      </c>
      <c r="B552" s="1">
        <v>2026</v>
      </c>
      <c r="C552" s="10">
        <v>9712.045</v>
      </c>
      <c r="D552" s="11">
        <v>119193.600872401</v>
      </c>
      <c r="E552" s="3">
        <f t="shared" ref="E552:E555" si="103">E551*(1+$L$551)</f>
        <v>35998.81</v>
      </c>
      <c r="F552" s="11">
        <v>9904.5866</v>
      </c>
      <c r="G552" s="11">
        <v>117652.929176629</v>
      </c>
      <c r="H552" s="4">
        <f t="shared" ref="H552:H555" si="104">H551*(1+M$551)</f>
        <v>34417.64</v>
      </c>
      <c r="I552" s="11">
        <v>9696.169</v>
      </c>
      <c r="J552" s="11">
        <v>122953.901997301</v>
      </c>
      <c r="K552" s="4">
        <f t="shared" ref="K552:K555" si="105">K551*(1+N$551)</f>
        <v>36180.64</v>
      </c>
    </row>
    <row r="553" ht="18" spans="1:11">
      <c r="A553" s="1" t="s">
        <v>27</v>
      </c>
      <c r="B553" s="1">
        <v>2027</v>
      </c>
      <c r="C553" s="10">
        <v>9696.0672</v>
      </c>
      <c r="D553" s="11">
        <v>128260.362392695</v>
      </c>
      <c r="E553" s="3">
        <f t="shared" si="103"/>
        <v>35998.81</v>
      </c>
      <c r="F553" s="11">
        <v>9897.6861</v>
      </c>
      <c r="G553" s="11">
        <v>126783.999263844</v>
      </c>
      <c r="H553" s="4">
        <f t="shared" si="104"/>
        <v>34417.64</v>
      </c>
      <c r="I553" s="11">
        <v>9677.2472</v>
      </c>
      <c r="J553" s="11">
        <v>132009.662883979</v>
      </c>
      <c r="K553" s="4">
        <f t="shared" si="105"/>
        <v>36180.64</v>
      </c>
    </row>
    <row r="554" ht="18" spans="1:11">
      <c r="A554" s="1" t="s">
        <v>27</v>
      </c>
      <c r="B554" s="1">
        <v>2028</v>
      </c>
      <c r="C554" s="10">
        <v>9678.757</v>
      </c>
      <c r="D554" s="11">
        <v>136872.440500288</v>
      </c>
      <c r="E554" s="3">
        <f t="shared" si="103"/>
        <v>35998.81</v>
      </c>
      <c r="F554" s="11">
        <v>9888.2689</v>
      </c>
      <c r="G554" s="11">
        <v>135450.428441923</v>
      </c>
      <c r="H554" s="4">
        <f t="shared" si="104"/>
        <v>34417.64</v>
      </c>
      <c r="I554" s="11">
        <v>9656.7731</v>
      </c>
      <c r="J554" s="11">
        <v>140721.373696739</v>
      </c>
      <c r="K554" s="4">
        <f t="shared" si="105"/>
        <v>36180.64</v>
      </c>
    </row>
    <row r="555" ht="18" spans="1:11">
      <c r="A555" s="1" t="s">
        <v>27</v>
      </c>
      <c r="B555" s="1">
        <v>2029</v>
      </c>
      <c r="C555" s="10">
        <v>9660.2869</v>
      </c>
      <c r="D555" s="11">
        <v>144938.42684919</v>
      </c>
      <c r="E555" s="3">
        <f t="shared" si="103"/>
        <v>35998.81</v>
      </c>
      <c r="F555" s="11">
        <v>9876.7611</v>
      </c>
      <c r="G555" s="11">
        <v>143741.257638414</v>
      </c>
      <c r="H555" s="4">
        <f t="shared" si="104"/>
        <v>34417.64</v>
      </c>
      <c r="I555" s="11">
        <v>9634.9989</v>
      </c>
      <c r="J555" s="11">
        <v>149144.055473294</v>
      </c>
      <c r="K555" s="4">
        <f t="shared" si="105"/>
        <v>36180.64</v>
      </c>
    </row>
    <row r="556" ht="18" spans="1:11">
      <c r="A556" s="1" t="s">
        <v>27</v>
      </c>
      <c r="B556" s="1">
        <v>2030</v>
      </c>
      <c r="C556" s="10">
        <v>9640.8315</v>
      </c>
      <c r="D556" s="11">
        <v>152366.913093413</v>
      </c>
      <c r="E556" s="18">
        <v>38839.44</v>
      </c>
      <c r="F556" s="11">
        <v>9863.5876</v>
      </c>
      <c r="G556" s="11">
        <v>151745.527780861</v>
      </c>
      <c r="H556" s="17">
        <v>36649.74</v>
      </c>
      <c r="I556" s="11">
        <v>9612.1793</v>
      </c>
      <c r="J556" s="11">
        <v>157332.729251356</v>
      </c>
      <c r="K556" s="17">
        <v>39162.5</v>
      </c>
    </row>
    <row r="557" ht="18" spans="1:11">
      <c r="A557" s="1" t="s">
        <v>27</v>
      </c>
      <c r="B557" s="1">
        <v>2031</v>
      </c>
      <c r="C557" s="10">
        <v>9620.5114</v>
      </c>
      <c r="D557" s="11">
        <v>159131.890154248</v>
      </c>
      <c r="E557" s="3">
        <f t="shared" ref="E557:E560" si="106">E556*(1+$L$556)</f>
        <v>38839.44</v>
      </c>
      <c r="F557" s="11">
        <v>9849.117</v>
      </c>
      <c r="G557" s="11">
        <v>159561.816080121</v>
      </c>
      <c r="H557" s="4">
        <f t="shared" ref="H557:H560" si="107">H556*(1+M$556)</f>
        <v>36649.74</v>
      </c>
      <c r="I557" s="11">
        <v>9588.5012</v>
      </c>
      <c r="J557" s="11">
        <v>165360.490320183</v>
      </c>
      <c r="K557" s="4">
        <f t="shared" ref="K557:K560" si="108">K556*(1+N$556)</f>
        <v>39162.5</v>
      </c>
    </row>
    <row r="558" ht="18" spans="1:11">
      <c r="A558" s="1" t="s">
        <v>27</v>
      </c>
      <c r="B558" s="1">
        <v>2032</v>
      </c>
      <c r="C558" s="10">
        <v>9599.226</v>
      </c>
      <c r="D558" s="11">
        <v>165468.946022117</v>
      </c>
      <c r="E558" s="3">
        <f t="shared" si="106"/>
        <v>38839.44</v>
      </c>
      <c r="F558" s="11">
        <v>9833.4925</v>
      </c>
      <c r="G558" s="11">
        <v>167326.844880288</v>
      </c>
      <c r="H558" s="4">
        <f t="shared" si="107"/>
        <v>36649.74</v>
      </c>
      <c r="I558" s="11">
        <v>9563.8755</v>
      </c>
      <c r="J558" s="11">
        <v>173372.730975211</v>
      </c>
      <c r="K558" s="4">
        <f t="shared" si="108"/>
        <v>39162.5</v>
      </c>
    </row>
    <row r="559" ht="18" spans="1:11">
      <c r="A559" s="1" t="s">
        <v>27</v>
      </c>
      <c r="B559" s="1">
        <v>2033</v>
      </c>
      <c r="C559" s="10">
        <v>9576.8195</v>
      </c>
      <c r="D559" s="11">
        <v>171679.067954723</v>
      </c>
      <c r="E559" s="3">
        <f t="shared" si="106"/>
        <v>38839.44</v>
      </c>
      <c r="F559" s="11">
        <v>9816.8003</v>
      </c>
      <c r="G559" s="11">
        <v>175186.872808766</v>
      </c>
      <c r="H559" s="4">
        <f t="shared" si="107"/>
        <v>36649.74</v>
      </c>
      <c r="I559" s="11">
        <v>9538.1442</v>
      </c>
      <c r="J559" s="11">
        <v>181532.917763419</v>
      </c>
      <c r="K559" s="4">
        <f t="shared" si="108"/>
        <v>39162.5</v>
      </c>
    </row>
    <row r="560" ht="18" spans="1:11">
      <c r="A560" s="1" t="s">
        <v>27</v>
      </c>
      <c r="B560" s="1">
        <v>2034</v>
      </c>
      <c r="C560" s="10">
        <v>9553.136</v>
      </c>
      <c r="D560" s="11">
        <v>178063.243209767</v>
      </c>
      <c r="E560" s="3">
        <f t="shared" si="106"/>
        <v>38839.44</v>
      </c>
      <c r="F560" s="11">
        <v>9799.126</v>
      </c>
      <c r="G560" s="11">
        <v>183288.15849296</v>
      </c>
      <c r="H560" s="4">
        <f t="shared" si="107"/>
        <v>36649.74</v>
      </c>
      <c r="I560" s="11">
        <v>9511.1491</v>
      </c>
      <c r="J560" s="11">
        <v>190004.517231787</v>
      </c>
      <c r="K560" s="4">
        <f t="shared" si="108"/>
        <v>39162.5</v>
      </c>
    </row>
    <row r="561" ht="18" spans="1:11">
      <c r="A561" s="1" t="s">
        <v>27</v>
      </c>
      <c r="B561" s="1">
        <v>2035</v>
      </c>
      <c r="C561" s="10">
        <v>9528.0195</v>
      </c>
      <c r="D561" s="11">
        <v>184922.459044954</v>
      </c>
      <c r="E561" s="18">
        <v>40687.84</v>
      </c>
      <c r="F561" s="11">
        <v>9780.5539</v>
      </c>
      <c r="G561" s="11">
        <v>191776.960560273</v>
      </c>
      <c r="H561" s="17">
        <v>38174.25</v>
      </c>
      <c r="I561" s="11">
        <v>9482.732</v>
      </c>
      <c r="J561" s="11">
        <v>198950.995927294</v>
      </c>
      <c r="K561" s="17">
        <v>41183.46</v>
      </c>
    </row>
    <row r="562" ht="18" spans="1:11">
      <c r="A562" s="1" t="s">
        <v>27</v>
      </c>
      <c r="B562" s="1">
        <v>2036</v>
      </c>
      <c r="C562" s="10">
        <v>9501.3337</v>
      </c>
      <c r="D562" s="11">
        <v>192437.338036116</v>
      </c>
      <c r="E562" s="3">
        <f t="shared" ref="E562:E565" si="109">E561*(1+$L$561)</f>
        <v>40687.84</v>
      </c>
      <c r="F562" s="11">
        <v>9761.1307</v>
      </c>
      <c r="G562" s="11">
        <v>200703.262267971</v>
      </c>
      <c r="H562" s="4">
        <f t="shared" ref="H562:H565" si="110">H561*(1+M$561)</f>
        <v>38174.25</v>
      </c>
      <c r="I562" s="11">
        <v>9452.7545</v>
      </c>
      <c r="J562" s="11">
        <v>208443.998910458</v>
      </c>
      <c r="K562" s="4">
        <f t="shared" ref="K562:K565" si="111">K561*(1+N$561)</f>
        <v>41183.46</v>
      </c>
    </row>
    <row r="563" ht="18" spans="1:11">
      <c r="A563" s="1" t="s">
        <v>27</v>
      </c>
      <c r="B563" s="1">
        <v>2037</v>
      </c>
      <c r="C563" s="10">
        <v>9473.0212</v>
      </c>
      <c r="D563" s="11">
        <v>200307.044031609</v>
      </c>
      <c r="E563" s="3">
        <f t="shared" si="109"/>
        <v>40687.84</v>
      </c>
      <c r="F563" s="11">
        <v>9740.7566</v>
      </c>
      <c r="G563" s="11">
        <v>209731.945392763</v>
      </c>
      <c r="H563" s="4">
        <f t="shared" si="110"/>
        <v>38174.25</v>
      </c>
      <c r="I563" s="11">
        <v>9421.1579</v>
      </c>
      <c r="J563" s="11">
        <v>218187.88529594</v>
      </c>
      <c r="K563" s="4">
        <f t="shared" si="111"/>
        <v>41183.46</v>
      </c>
    </row>
    <row r="564" ht="18" spans="1:11">
      <c r="A564" s="1" t="s">
        <v>27</v>
      </c>
      <c r="B564" s="1">
        <v>2038</v>
      </c>
      <c r="C564" s="10">
        <v>9443.0446</v>
      </c>
      <c r="D564" s="11">
        <v>208110.376197922</v>
      </c>
      <c r="E564" s="3">
        <f t="shared" si="109"/>
        <v>40687.84</v>
      </c>
      <c r="F564" s="11">
        <v>9719.2953</v>
      </c>
      <c r="G564" s="11">
        <v>218431.61634122</v>
      </c>
      <c r="H564" s="4">
        <f t="shared" si="110"/>
        <v>38174.25</v>
      </c>
      <c r="I564" s="11">
        <v>9387.904</v>
      </c>
      <c r="J564" s="11">
        <v>227795.192711938</v>
      </c>
      <c r="K564" s="4">
        <f t="shared" si="111"/>
        <v>41183.46</v>
      </c>
    </row>
    <row r="565" ht="18" spans="1:11">
      <c r="A565" s="1" t="s">
        <v>27</v>
      </c>
      <c r="B565" s="1">
        <v>2039</v>
      </c>
      <c r="C565" s="10">
        <v>9411.367</v>
      </c>
      <c r="D565" s="11">
        <v>215426.13370154</v>
      </c>
      <c r="E565" s="3">
        <f t="shared" si="109"/>
        <v>40687.84</v>
      </c>
      <c r="F565" s="11">
        <v>9696.611</v>
      </c>
      <c r="G565" s="11">
        <v>226370.881519913</v>
      </c>
      <c r="H565" s="4">
        <f t="shared" si="110"/>
        <v>38174.25</v>
      </c>
      <c r="I565" s="11">
        <v>9352.9547</v>
      </c>
      <c r="J565" s="11">
        <v>236878.458786651</v>
      </c>
      <c r="K565" s="4">
        <f t="shared" si="111"/>
        <v>41183.46</v>
      </c>
    </row>
    <row r="566" ht="18" spans="1:11">
      <c r="A566" s="1" t="s">
        <v>27</v>
      </c>
      <c r="B566" s="1">
        <v>2040</v>
      </c>
      <c r="C566" s="10">
        <v>9377.9517</v>
      </c>
      <c r="D566" s="11">
        <v>221833.115708951</v>
      </c>
      <c r="E566" s="18">
        <v>42513.5</v>
      </c>
      <c r="F566" s="11">
        <v>9672.5683</v>
      </c>
      <c r="G566" s="11">
        <v>233118.347335413</v>
      </c>
      <c r="H566" s="17">
        <v>39708.46</v>
      </c>
      <c r="I566" s="11">
        <v>9316.2727</v>
      </c>
      <c r="J566" s="11">
        <v>245050.221148277</v>
      </c>
      <c r="K566" s="17">
        <v>43168.38</v>
      </c>
    </row>
    <row r="567" ht="18" spans="1:11">
      <c r="A567" s="1" t="s">
        <v>27</v>
      </c>
      <c r="B567" s="1">
        <v>2041</v>
      </c>
      <c r="C567" s="10">
        <v>9342.7451</v>
      </c>
      <c r="D567" s="11">
        <v>227048.795755753</v>
      </c>
      <c r="E567" s="3">
        <f t="shared" ref="E567:E570" si="112">E566*(1+$L$566)</f>
        <v>42513.5</v>
      </c>
      <c r="F567" s="11">
        <v>9647.0439</v>
      </c>
      <c r="G567" s="11">
        <v>238378.211933167</v>
      </c>
      <c r="H567" s="4">
        <f t="shared" ref="H567:H570" si="113">H566*(1+M$566)</f>
        <v>39708.46</v>
      </c>
      <c r="I567" s="11">
        <v>9277.804</v>
      </c>
      <c r="J567" s="11">
        <v>252055.821819273</v>
      </c>
      <c r="K567" s="4">
        <f t="shared" ref="K567:K570" si="114">K566*(1+N$566)</f>
        <v>43168.38</v>
      </c>
    </row>
    <row r="568" ht="18" spans="1:11">
      <c r="A568" s="1" t="s">
        <v>27</v>
      </c>
      <c r="B568" s="1">
        <v>2042</v>
      </c>
      <c r="C568" s="10">
        <v>9305.6229</v>
      </c>
      <c r="D568" s="11">
        <v>231345.34485398</v>
      </c>
      <c r="E568" s="3">
        <f t="shared" si="112"/>
        <v>42513.5</v>
      </c>
      <c r="F568" s="11">
        <v>9619.9602</v>
      </c>
      <c r="G568" s="11">
        <v>242397.040414135</v>
      </c>
      <c r="H568" s="4">
        <f t="shared" si="113"/>
        <v>39708.46</v>
      </c>
      <c r="I568" s="11">
        <v>9237.4271</v>
      </c>
      <c r="J568" s="11">
        <v>258171.820399126</v>
      </c>
      <c r="K568" s="4">
        <f t="shared" si="114"/>
        <v>43168.38</v>
      </c>
    </row>
    <row r="569" ht="18" spans="1:11">
      <c r="A569" s="1" t="s">
        <v>27</v>
      </c>
      <c r="B569" s="1">
        <v>2043</v>
      </c>
      <c r="C569" s="10">
        <v>9266.4436</v>
      </c>
      <c r="D569" s="11">
        <v>235133.608384781</v>
      </c>
      <c r="E569" s="3">
        <f t="shared" si="112"/>
        <v>42513.5</v>
      </c>
      <c r="F569" s="11">
        <v>9591.2526</v>
      </c>
      <c r="G569" s="11">
        <v>245556.989618153</v>
      </c>
      <c r="H569" s="4">
        <f t="shared" si="113"/>
        <v>39708.46</v>
      </c>
      <c r="I569" s="11">
        <v>9195.0044</v>
      </c>
      <c r="J569" s="11">
        <v>263807.580881583</v>
      </c>
      <c r="K569" s="4">
        <f t="shared" si="114"/>
        <v>43168.38</v>
      </c>
    </row>
    <row r="570" ht="18" spans="1:11">
      <c r="A570" s="1" t="s">
        <v>27</v>
      </c>
      <c r="B570" s="1">
        <v>2044</v>
      </c>
      <c r="C570" s="10">
        <v>9225.0662</v>
      </c>
      <c r="D570" s="11">
        <v>238824.4317293</v>
      </c>
      <c r="E570" s="3">
        <f t="shared" si="112"/>
        <v>42513.5</v>
      </c>
      <c r="F570" s="11">
        <v>9560.8584</v>
      </c>
      <c r="G570" s="11">
        <v>248240.216385058</v>
      </c>
      <c r="H570" s="4">
        <f t="shared" si="113"/>
        <v>39708.46</v>
      </c>
      <c r="I570" s="11">
        <v>9150.3985</v>
      </c>
      <c r="J570" s="11">
        <v>269372.467260391</v>
      </c>
      <c r="K570" s="4">
        <f t="shared" si="114"/>
        <v>43168.38</v>
      </c>
    </row>
    <row r="571" ht="18" spans="1:11">
      <c r="A571" s="1" t="s">
        <v>27</v>
      </c>
      <c r="B571" s="1">
        <v>2045</v>
      </c>
      <c r="C571" s="10">
        <v>9181.3502</v>
      </c>
      <c r="D571" s="11">
        <v>242828.660268684</v>
      </c>
      <c r="E571" s="18">
        <v>43300.14</v>
      </c>
      <c r="F571" s="11">
        <v>9528.7161</v>
      </c>
      <c r="G571" s="11">
        <v>250828.877554688</v>
      </c>
      <c r="H571" s="17">
        <v>40584.79</v>
      </c>
      <c r="I571" s="11">
        <v>9103.4728</v>
      </c>
      <c r="J571" s="11">
        <v>275275.843529295</v>
      </c>
      <c r="K571" s="17">
        <v>44267.76</v>
      </c>
    </row>
    <row r="572" ht="18" spans="1:11">
      <c r="A572" s="1" t="s">
        <v>27</v>
      </c>
      <c r="B572" s="1">
        <v>2046</v>
      </c>
      <c r="C572" s="10">
        <v>9135.1901</v>
      </c>
      <c r="D572" s="11">
        <v>247438.05813655</v>
      </c>
      <c r="E572" s="3">
        <f t="shared" ref="E572:E575" si="115">E571*(1+$L$571)</f>
        <v>43300.14</v>
      </c>
      <c r="F572" s="11">
        <v>9494.764</v>
      </c>
      <c r="G572" s="11">
        <v>253605.716979296</v>
      </c>
      <c r="H572" s="4">
        <f t="shared" ref="H572:H575" si="116">H571*(1+M$571)</f>
        <v>40584.79</v>
      </c>
      <c r="I572" s="11">
        <v>9054.125</v>
      </c>
      <c r="J572" s="11">
        <v>281788.234049732</v>
      </c>
      <c r="K572" s="4">
        <f t="shared" ref="K572:K575" si="117">K571*(1+N$571)</f>
        <v>44267.76</v>
      </c>
    </row>
    <row r="573" ht="18" spans="1:11">
      <c r="A573" s="1" t="s">
        <v>27</v>
      </c>
      <c r="B573" s="1">
        <v>2047</v>
      </c>
      <c r="C573" s="10">
        <v>9086.6193</v>
      </c>
      <c r="D573" s="11">
        <v>252468.064476399</v>
      </c>
      <c r="E573" s="3">
        <f t="shared" si="115"/>
        <v>43300.14</v>
      </c>
      <c r="F573" s="11">
        <v>9458.9309</v>
      </c>
      <c r="G573" s="11">
        <v>256455.826560816</v>
      </c>
      <c r="H573" s="4">
        <f t="shared" si="116"/>
        <v>40584.79</v>
      </c>
      <c r="I573" s="11">
        <v>9002.388</v>
      </c>
      <c r="J573" s="11">
        <v>288624.804653895</v>
      </c>
      <c r="K573" s="4">
        <f t="shared" si="117"/>
        <v>44267.76</v>
      </c>
    </row>
    <row r="574" ht="18" spans="1:11">
      <c r="A574" s="1" t="s">
        <v>27</v>
      </c>
      <c r="B574" s="1">
        <v>2048</v>
      </c>
      <c r="C574" s="10">
        <v>9035.7043</v>
      </c>
      <c r="D574" s="11">
        <v>257615.037184201</v>
      </c>
      <c r="E574" s="3">
        <f t="shared" si="115"/>
        <v>43300.14</v>
      </c>
      <c r="F574" s="11">
        <v>9421.1417</v>
      </c>
      <c r="G574" s="11">
        <v>259164.885213596</v>
      </c>
      <c r="H574" s="4">
        <f t="shared" si="116"/>
        <v>40584.79</v>
      </c>
      <c r="I574" s="11">
        <v>8948.3271</v>
      </c>
      <c r="J574" s="11">
        <v>295361.881541668</v>
      </c>
      <c r="K574" s="4">
        <f t="shared" si="117"/>
        <v>44267.76</v>
      </c>
    </row>
    <row r="575" ht="18" spans="1:11">
      <c r="A575" s="1" t="s">
        <v>27</v>
      </c>
      <c r="B575" s="1">
        <v>2049</v>
      </c>
      <c r="C575" s="10">
        <v>8982.5107</v>
      </c>
      <c r="D575" s="11">
        <v>262575.334155929</v>
      </c>
      <c r="E575" s="3">
        <f t="shared" si="115"/>
        <v>43300.14</v>
      </c>
      <c r="F575" s="11">
        <v>9381.3195</v>
      </c>
      <c r="G575" s="11">
        <v>261518.571851987</v>
      </c>
      <c r="H575" s="4">
        <f t="shared" si="116"/>
        <v>40584.79</v>
      </c>
      <c r="I575" s="11">
        <v>8892.0064</v>
      </c>
      <c r="J575" s="11">
        <v>301575.790912933</v>
      </c>
      <c r="K575" s="4">
        <f t="shared" si="117"/>
        <v>44267.76</v>
      </c>
    </row>
    <row r="576" ht="18" spans="1:11">
      <c r="A576" s="1" t="s">
        <v>27</v>
      </c>
      <c r="B576" s="1">
        <v>2050</v>
      </c>
      <c r="C576" s="10">
        <v>8927.1027</v>
      </c>
      <c r="D576" s="11">
        <v>267045.313287553</v>
      </c>
      <c r="E576" s="18">
        <v>44060.95</v>
      </c>
      <c r="F576" s="11">
        <v>9339.3851</v>
      </c>
      <c r="G576" s="11">
        <v>263302.565390339</v>
      </c>
      <c r="H576" s="17">
        <v>41450.78</v>
      </c>
      <c r="I576" s="11">
        <v>8833.4883</v>
      </c>
      <c r="J576" s="11">
        <v>306842.858967575</v>
      </c>
      <c r="K576" s="17">
        <v>45334.87</v>
      </c>
    </row>
    <row r="577" ht="18" spans="1:11">
      <c r="A577" s="1" t="s">
        <v>27</v>
      </c>
      <c r="B577" s="1">
        <v>2051</v>
      </c>
      <c r="C577" s="10">
        <v>8869.5673</v>
      </c>
      <c r="D577" s="11">
        <v>270812.374631847</v>
      </c>
      <c r="E577" s="18">
        <v>44060.95</v>
      </c>
      <c r="F577" s="11">
        <v>9295.3187</v>
      </c>
      <c r="G577" s="11">
        <v>264372.640761687</v>
      </c>
      <c r="H577" s="17">
        <v>41450.78</v>
      </c>
      <c r="I577" s="11">
        <v>8772.8581</v>
      </c>
      <c r="J577" s="11">
        <v>310870.527939436</v>
      </c>
      <c r="K577" s="17">
        <v>45334.87</v>
      </c>
    </row>
    <row r="578" ht="18" spans="1:11">
      <c r="A578" s="1" t="s">
        <v>27</v>
      </c>
      <c r="B578" s="1">
        <v>2052</v>
      </c>
      <c r="C578" s="10">
        <v>8810.0857</v>
      </c>
      <c r="D578" s="11">
        <v>274028.08686879</v>
      </c>
      <c r="E578" s="18">
        <v>44060.95</v>
      </c>
      <c r="F578" s="11">
        <v>9249.343</v>
      </c>
      <c r="G578" s="11">
        <v>264864.956973806</v>
      </c>
      <c r="H578" s="17">
        <v>41450.78</v>
      </c>
      <c r="I578" s="11">
        <v>8710.2957</v>
      </c>
      <c r="J578" s="11">
        <v>313890.704198202</v>
      </c>
      <c r="K578" s="17">
        <v>45334.87</v>
      </c>
    </row>
    <row r="579" ht="18" spans="1:11">
      <c r="A579" s="1" t="s">
        <v>27</v>
      </c>
      <c r="B579" s="1">
        <v>2053</v>
      </c>
      <c r="C579" s="10">
        <v>8748.8616</v>
      </c>
      <c r="D579" s="11">
        <v>276935.060835164</v>
      </c>
      <c r="E579" s="18">
        <v>44060.95</v>
      </c>
      <c r="F579" s="11">
        <v>9201.7403</v>
      </c>
      <c r="G579" s="11">
        <v>264985.769053155</v>
      </c>
      <c r="H579" s="17">
        <v>41450.78</v>
      </c>
      <c r="I579" s="11">
        <v>8646.0032</v>
      </c>
      <c r="J579" s="11">
        <v>316266.410147519</v>
      </c>
      <c r="K579" s="17">
        <v>45334.87</v>
      </c>
    </row>
    <row r="580" ht="18" spans="1:11">
      <c r="A580" s="1" t="s">
        <v>27</v>
      </c>
      <c r="B580" s="1">
        <v>2054</v>
      </c>
      <c r="C580" s="10">
        <v>8686.0965</v>
      </c>
      <c r="D580" s="11">
        <v>279775.90736775</v>
      </c>
      <c r="E580" s="18">
        <v>44060.95</v>
      </c>
      <c r="F580" s="11">
        <v>9152.7916</v>
      </c>
      <c r="G580" s="11">
        <v>264941.332026195</v>
      </c>
      <c r="H580" s="17">
        <v>41450.78</v>
      </c>
      <c r="I580" s="11">
        <v>8580.1801</v>
      </c>
      <c r="J580" s="11">
        <v>318360.66819103</v>
      </c>
      <c r="K580" s="17">
        <v>45334.87</v>
      </c>
    </row>
    <row r="581" ht="18" spans="1:11">
      <c r="A581" s="1" t="s">
        <v>27</v>
      </c>
      <c r="B581" s="1">
        <v>2055</v>
      </c>
      <c r="C581" s="10">
        <v>8621.9902</v>
      </c>
      <c r="D581" s="11">
        <v>282793.237303332</v>
      </c>
      <c r="E581" s="18">
        <v>44060.95</v>
      </c>
      <c r="F581" s="11">
        <v>9102.776</v>
      </c>
      <c r="G581" s="11">
        <v>264937.900919383</v>
      </c>
      <c r="H581" s="17">
        <v>41450.78</v>
      </c>
      <c r="I581" s="11">
        <v>8513.0241</v>
      </c>
      <c r="J581" s="11">
        <v>320536.500732381</v>
      </c>
      <c r="K581" s="17">
        <v>45334.87</v>
      </c>
    </row>
    <row r="582" ht="18" spans="1:11">
      <c r="A582" s="1" t="s">
        <v>27</v>
      </c>
      <c r="B582" s="1">
        <v>2056</v>
      </c>
      <c r="C582" s="10">
        <v>8556.7021</v>
      </c>
      <c r="D582" s="11">
        <v>286157.919688748</v>
      </c>
      <c r="E582" s="18">
        <v>44060.95</v>
      </c>
      <c r="F582" s="11">
        <v>9051.9577</v>
      </c>
      <c r="G582" s="11">
        <v>265118.909004065</v>
      </c>
      <c r="H582" s="17">
        <v>41450.78</v>
      </c>
      <c r="I582" s="11">
        <v>8444.6912</v>
      </c>
      <c r="J582" s="11">
        <v>323085.594343773</v>
      </c>
      <c r="K582" s="17">
        <v>45334.87</v>
      </c>
    </row>
    <row r="583" ht="18" spans="1:11">
      <c r="A583" s="1" t="s">
        <v>27</v>
      </c>
      <c r="B583" s="1">
        <v>2057</v>
      </c>
      <c r="C583" s="10">
        <v>8490.2327</v>
      </c>
      <c r="D583" s="11">
        <v>289753.856411076</v>
      </c>
      <c r="E583" s="18">
        <v>44060.95</v>
      </c>
      <c r="F583" s="11">
        <v>9000.5449</v>
      </c>
      <c r="G583" s="11">
        <v>265376.502531128</v>
      </c>
      <c r="H583" s="17">
        <v>41450.78</v>
      </c>
      <c r="I583" s="11">
        <v>8375.1774</v>
      </c>
      <c r="J583" s="11">
        <v>326014.292271631</v>
      </c>
      <c r="K583" s="17">
        <v>45334.87</v>
      </c>
    </row>
    <row r="584" ht="18" spans="1:11">
      <c r="A584" s="1" t="s">
        <v>27</v>
      </c>
      <c r="B584" s="1">
        <v>2058</v>
      </c>
      <c r="C584" s="10">
        <v>8422.5419</v>
      </c>
      <c r="D584" s="11">
        <v>293393.207567453</v>
      </c>
      <c r="E584" s="18">
        <v>44060.95</v>
      </c>
      <c r="F584" s="11">
        <v>8948.7308</v>
      </c>
      <c r="G584" s="11">
        <v>265540.005996341</v>
      </c>
      <c r="H584" s="17">
        <v>41450.78</v>
      </c>
      <c r="I584" s="11">
        <v>8304.4372</v>
      </c>
      <c r="J584" s="11">
        <v>329257.601930934</v>
      </c>
      <c r="K584" s="17">
        <v>45334.87</v>
      </c>
    </row>
    <row r="585" ht="18" spans="1:11">
      <c r="A585" s="1" t="s">
        <v>27</v>
      </c>
      <c r="B585" s="1">
        <v>2059</v>
      </c>
      <c r="C585" s="10">
        <v>8353.588</v>
      </c>
      <c r="D585" s="11">
        <v>296888.133255013</v>
      </c>
      <c r="E585" s="18">
        <v>44060.95</v>
      </c>
      <c r="F585" s="11">
        <v>8896.7081</v>
      </c>
      <c r="G585" s="11">
        <v>265438.743895475</v>
      </c>
      <c r="H585" s="17">
        <v>41450.78</v>
      </c>
      <c r="I585" s="11">
        <v>8232.4232</v>
      </c>
      <c r="J585" s="11">
        <v>332750.530736665</v>
      </c>
      <c r="K585" s="17">
        <v>45334.87</v>
      </c>
    </row>
    <row r="586" ht="18" spans="1:11">
      <c r="A586" s="1" t="s">
        <v>27</v>
      </c>
      <c r="B586" s="1">
        <v>2060</v>
      </c>
      <c r="C586" s="10">
        <v>8283.3273</v>
      </c>
      <c r="D586" s="11">
        <v>300050.793570894</v>
      </c>
      <c r="E586" s="18">
        <v>44060.95</v>
      </c>
      <c r="F586" s="11">
        <v>8844.6682</v>
      </c>
      <c r="G586" s="11">
        <v>264902.040724302</v>
      </c>
      <c r="H586" s="17">
        <v>41450.78</v>
      </c>
      <c r="I586" s="11">
        <v>8159.0856</v>
      </c>
      <c r="J586" s="11">
        <v>336428.086103803</v>
      </c>
      <c r="K586" s="17">
        <v>45334.87</v>
      </c>
    </row>
    <row r="587" ht="18" spans="1:11">
      <c r="A587" s="1" t="s">
        <v>27</v>
      </c>
      <c r="B587" s="1">
        <v>2061</v>
      </c>
      <c r="C587" s="10">
        <v>8211.769</v>
      </c>
      <c r="D587" s="11">
        <v>302738.716085751</v>
      </c>
      <c r="E587" s="18">
        <v>44060.95</v>
      </c>
      <c r="F587" s="11">
        <v>8792.8309</v>
      </c>
      <c r="G587" s="11">
        <v>263813.666667588</v>
      </c>
      <c r="H587" s="17">
        <v>41450.78</v>
      </c>
      <c r="I587" s="11">
        <v>8084.429</v>
      </c>
      <c r="J587" s="11">
        <v>340219.410039995</v>
      </c>
      <c r="K587" s="17">
        <v>45334.87</v>
      </c>
    </row>
    <row r="588" ht="18" spans="1:11">
      <c r="A588" s="1" t="s">
        <v>27</v>
      </c>
      <c r="B588" s="1">
        <v>2062</v>
      </c>
      <c r="C588" s="10">
        <v>8139.1432</v>
      </c>
      <c r="D588" s="11">
        <v>304990.898264322</v>
      </c>
      <c r="E588" s="18">
        <v>44060.95</v>
      </c>
      <c r="F588" s="11">
        <v>8741.5351</v>
      </c>
      <c r="G588" s="11">
        <v>262275.174666084</v>
      </c>
      <c r="H588" s="17">
        <v>41450.78</v>
      </c>
      <c r="I588" s="11">
        <v>8008.6853</v>
      </c>
      <c r="J588" s="11">
        <v>344030.182923553</v>
      </c>
      <c r="K588" s="17">
        <v>45334.87</v>
      </c>
    </row>
    <row r="589" ht="18" spans="1:11">
      <c r="A589" s="1" t="s">
        <v>27</v>
      </c>
      <c r="B589" s="1">
        <v>2063</v>
      </c>
      <c r="C589" s="10">
        <v>8065.7381</v>
      </c>
      <c r="D589" s="11">
        <v>306891.705044865</v>
      </c>
      <c r="E589" s="18">
        <v>44060.95</v>
      </c>
      <c r="F589" s="11">
        <v>8691.1542</v>
      </c>
      <c r="G589" s="11">
        <v>260442.563349534</v>
      </c>
      <c r="H589" s="17">
        <v>41450.78</v>
      </c>
      <c r="I589" s="11">
        <v>7932.1469</v>
      </c>
      <c r="J589" s="11">
        <v>347760.219725453</v>
      </c>
      <c r="K589" s="17">
        <v>45334.87</v>
      </c>
    </row>
    <row r="590" ht="18" spans="1:11">
      <c r="A590" s="1" t="s">
        <v>27</v>
      </c>
      <c r="B590" s="1">
        <v>2064</v>
      </c>
      <c r="C590" s="10">
        <v>7991.8459</v>
      </c>
      <c r="D590" s="11">
        <v>308525.501365639</v>
      </c>
      <c r="E590" s="18">
        <v>44060.95</v>
      </c>
      <c r="F590" s="11">
        <v>8642.0687</v>
      </c>
      <c r="G590" s="11">
        <v>258471.831347685</v>
      </c>
      <c r="H590" s="17">
        <v>41450.78</v>
      </c>
      <c r="I590" s="11">
        <v>7855.1108</v>
      </c>
      <c r="J590" s="11">
        <v>351309.335416672</v>
      </c>
      <c r="K590" s="17">
        <v>45334.87</v>
      </c>
    </row>
    <row r="591" ht="18" spans="1:11">
      <c r="A591" s="1" t="s">
        <v>27</v>
      </c>
      <c r="B591" s="1">
        <v>2065</v>
      </c>
      <c r="C591" s="10">
        <v>7917.763</v>
      </c>
      <c r="D591" s="11">
        <v>309976.6521649</v>
      </c>
      <c r="E591" s="18">
        <v>44060.95</v>
      </c>
      <c r="F591" s="11">
        <v>8594.6656</v>
      </c>
      <c r="G591" s="11">
        <v>256518.977290283</v>
      </c>
      <c r="H591" s="17">
        <v>41450.78</v>
      </c>
      <c r="I591" s="11">
        <v>7777.8787</v>
      </c>
      <c r="J591" s="11">
        <v>354577.344968188</v>
      </c>
      <c r="K591" s="17">
        <v>45334.87</v>
      </c>
    </row>
    <row r="592" ht="18" spans="1:11">
      <c r="A592" s="1" t="s">
        <v>27</v>
      </c>
      <c r="B592" s="1">
        <v>2066</v>
      </c>
      <c r="C592" s="10">
        <v>7843.7546</v>
      </c>
      <c r="D592" s="11">
        <v>311295.95739526</v>
      </c>
      <c r="E592" s="18">
        <v>44060.95</v>
      </c>
      <c r="F592" s="11">
        <v>8549.1935</v>
      </c>
      <c r="G592" s="11">
        <v>254696.297938424</v>
      </c>
      <c r="H592" s="17">
        <v>41450.78</v>
      </c>
      <c r="I592" s="11">
        <v>7700.7216</v>
      </c>
      <c r="J592" s="11">
        <v>357479.969577182</v>
      </c>
      <c r="K592" s="17">
        <v>45334.87</v>
      </c>
    </row>
    <row r="593" ht="18" spans="1:11">
      <c r="A593" s="1" t="s">
        <v>27</v>
      </c>
      <c r="B593" s="1">
        <v>2067</v>
      </c>
      <c r="C593" s="10">
        <v>7769.9477</v>
      </c>
      <c r="D593" s="11">
        <v>312399.957066734</v>
      </c>
      <c r="E593" s="18">
        <v>44060.95</v>
      </c>
      <c r="F593" s="11">
        <v>8505.3197</v>
      </c>
      <c r="G593" s="11">
        <v>252941.282578607</v>
      </c>
      <c r="H593" s="17">
        <v>41450.78</v>
      </c>
      <c r="I593" s="11">
        <v>7623.7704</v>
      </c>
      <c r="J593" s="11">
        <v>359996.55534566</v>
      </c>
      <c r="K593" s="17">
        <v>45334.87</v>
      </c>
    </row>
    <row r="594" ht="18" spans="1:11">
      <c r="A594" s="1" t="s">
        <v>27</v>
      </c>
      <c r="B594" s="1">
        <v>2068</v>
      </c>
      <c r="C594" s="10">
        <v>7696.4358</v>
      </c>
      <c r="D594" s="11">
        <v>313171.626203692</v>
      </c>
      <c r="E594" s="18">
        <v>44060.95</v>
      </c>
      <c r="F594" s="11">
        <v>8462.5609</v>
      </c>
      <c r="G594" s="11">
        <v>251147.718628682</v>
      </c>
      <c r="H594" s="17">
        <v>41450.78</v>
      </c>
      <c r="I594" s="11">
        <v>7547.1231</v>
      </c>
      <c r="J594" s="11">
        <v>362122.354601831</v>
      </c>
      <c r="K594" s="17">
        <v>45334.87</v>
      </c>
    </row>
    <row r="595" ht="18" spans="1:11">
      <c r="A595" s="1" t="s">
        <v>27</v>
      </c>
      <c r="B595" s="1">
        <v>2069</v>
      </c>
      <c r="C595" s="10">
        <v>7623.3141</v>
      </c>
      <c r="D595" s="11">
        <v>313493.939830503</v>
      </c>
      <c r="E595" s="18">
        <v>44060.95</v>
      </c>
      <c r="F595" s="11">
        <v>8420.4273</v>
      </c>
      <c r="G595" s="11">
        <v>249209.393506499</v>
      </c>
      <c r="H595" s="17">
        <v>41450.78</v>
      </c>
      <c r="I595" s="11">
        <v>7470.8808</v>
      </c>
      <c r="J595" s="11">
        <v>363852.619673903</v>
      </c>
      <c r="K595" s="17">
        <v>45334.87</v>
      </c>
    </row>
    <row r="596" ht="18" spans="1:11">
      <c r="A596" s="1" t="s">
        <v>27</v>
      </c>
      <c r="B596" s="1">
        <v>2070</v>
      </c>
      <c r="C596" s="10">
        <v>7550.6802</v>
      </c>
      <c r="D596" s="11">
        <v>313249.872971535</v>
      </c>
      <c r="E596" s="18">
        <v>44060.95</v>
      </c>
      <c r="F596" s="11">
        <v>8378.4229</v>
      </c>
      <c r="G596" s="11">
        <v>247020.094629906</v>
      </c>
      <c r="H596" s="17">
        <v>41450.78</v>
      </c>
      <c r="I596" s="11">
        <v>7395.1476</v>
      </c>
      <c r="J596" s="11">
        <v>365182.602890087</v>
      </c>
      <c r="K596" s="17">
        <v>45334.87</v>
      </c>
    </row>
    <row r="597" ht="18" spans="1:11">
      <c r="A597" s="1" t="s">
        <v>27</v>
      </c>
      <c r="B597" s="1">
        <v>2071</v>
      </c>
      <c r="C597" s="10">
        <v>7478.6733</v>
      </c>
      <c r="D597" s="11">
        <v>312368.346132246</v>
      </c>
      <c r="E597" s="18">
        <v>44060.95</v>
      </c>
      <c r="F597" s="11">
        <v>8336.2125</v>
      </c>
      <c r="G597" s="11">
        <v>244518.527160602</v>
      </c>
      <c r="H597" s="17">
        <v>41450.78</v>
      </c>
      <c r="I597" s="11">
        <v>7320.0684</v>
      </c>
      <c r="J597" s="11">
        <v>366142.249215607</v>
      </c>
      <c r="K597" s="17">
        <v>45334.87</v>
      </c>
    </row>
    <row r="598" ht="18" spans="1:11">
      <c r="A598" s="1" t="s">
        <v>27</v>
      </c>
      <c r="B598" s="1">
        <v>2072</v>
      </c>
      <c r="C598" s="10">
        <v>7407.5949</v>
      </c>
      <c r="D598" s="11">
        <v>310962.061742453</v>
      </c>
      <c r="E598" s="18">
        <v>44060.95</v>
      </c>
      <c r="F598" s="11">
        <v>8294.1293</v>
      </c>
      <c r="G598" s="11">
        <v>241823.067235674</v>
      </c>
      <c r="H598" s="17">
        <v>41450.78</v>
      </c>
      <c r="I598" s="11">
        <v>7245.9419</v>
      </c>
      <c r="J598" s="11">
        <v>366900.274163748</v>
      </c>
      <c r="K598" s="17">
        <v>45334.87</v>
      </c>
    </row>
    <row r="599" ht="18" spans="1:11">
      <c r="A599" s="1" t="s">
        <v>27</v>
      </c>
      <c r="B599" s="1">
        <v>2073</v>
      </c>
      <c r="C599" s="10">
        <v>7337.7919</v>
      </c>
      <c r="D599" s="11">
        <v>309189.667713059</v>
      </c>
      <c r="E599" s="18">
        <v>44060.95</v>
      </c>
      <c r="F599" s="11">
        <v>8252.6831</v>
      </c>
      <c r="G599" s="11">
        <v>239097.008736059</v>
      </c>
      <c r="H599" s="17">
        <v>41450.78</v>
      </c>
      <c r="I599" s="11">
        <v>7173.1095</v>
      </c>
      <c r="J599" s="11">
        <v>367660.085884811</v>
      </c>
      <c r="K599" s="17">
        <v>45334.87</v>
      </c>
    </row>
    <row r="600" ht="18" spans="1:11">
      <c r="A600" s="1" t="s">
        <v>27</v>
      </c>
      <c r="B600" s="1">
        <v>2074</v>
      </c>
      <c r="C600" s="10">
        <v>7269.6176</v>
      </c>
      <c r="D600" s="11">
        <v>307209.811954969</v>
      </c>
      <c r="E600" s="18">
        <v>44060.95</v>
      </c>
      <c r="F600" s="11">
        <v>8212.3946</v>
      </c>
      <c r="G600" s="11">
        <v>236503.645542691</v>
      </c>
      <c r="H600" s="17">
        <v>41450.78</v>
      </c>
      <c r="I600" s="11">
        <v>7101.9184</v>
      </c>
      <c r="J600" s="11">
        <v>368625.092529095</v>
      </c>
      <c r="K600" s="17">
        <v>45334.87</v>
      </c>
    </row>
    <row r="601" ht="18" spans="1:11">
      <c r="A601" s="1" t="s">
        <v>27</v>
      </c>
      <c r="B601" s="1">
        <v>2075</v>
      </c>
      <c r="C601" s="10">
        <v>7203.4308</v>
      </c>
      <c r="D601" s="11">
        <v>305181.142379089</v>
      </c>
      <c r="E601" s="18">
        <v>44060.95</v>
      </c>
      <c r="F601" s="11">
        <v>8173.795</v>
      </c>
      <c r="G601" s="11">
        <v>234206.271536507</v>
      </c>
      <c r="H601" s="17">
        <v>41450.78</v>
      </c>
      <c r="I601" s="11">
        <v>7032.7208</v>
      </c>
      <c r="J601" s="11">
        <v>369998.702246902</v>
      </c>
      <c r="K601" s="17">
        <v>45334.87</v>
      </c>
    </row>
    <row r="602" ht="18" spans="1:11">
      <c r="A602" s="1" t="s">
        <v>27</v>
      </c>
      <c r="B602" s="1">
        <v>2076</v>
      </c>
      <c r="C602" s="10">
        <v>7139.2488</v>
      </c>
      <c r="D602" s="11">
        <v>303226.592809862</v>
      </c>
      <c r="E602" s="18">
        <v>44060.95</v>
      </c>
      <c r="F602" s="11">
        <v>8137.2022</v>
      </c>
      <c r="G602" s="11">
        <v>232320.973867859</v>
      </c>
      <c r="H602" s="17">
        <v>41450.78</v>
      </c>
      <c r="I602" s="11">
        <v>6965.5337</v>
      </c>
      <c r="J602" s="11">
        <v>371930.017759548</v>
      </c>
      <c r="K602" s="17">
        <v>45334.87</v>
      </c>
    </row>
    <row r="603" ht="18" spans="1:11">
      <c r="A603" s="1" t="s">
        <v>27</v>
      </c>
      <c r="B603" s="1">
        <v>2077</v>
      </c>
      <c r="C603" s="10">
        <v>7075.6991</v>
      </c>
      <c r="D603" s="11">
        <v>301326.240725892</v>
      </c>
      <c r="E603" s="18">
        <v>44060.95</v>
      </c>
      <c r="F603" s="11">
        <v>8102.0394</v>
      </c>
      <c r="G603" s="11">
        <v>230775.012764771</v>
      </c>
      <c r="H603" s="17">
        <v>41450.78</v>
      </c>
      <c r="I603" s="11">
        <v>6899.0099</v>
      </c>
      <c r="J603" s="11">
        <v>374350.92007241</v>
      </c>
      <c r="K603" s="17">
        <v>45334.87</v>
      </c>
    </row>
    <row r="604" ht="18" spans="1:11">
      <c r="A604" s="1" t="s">
        <v>27</v>
      </c>
      <c r="B604" s="1">
        <v>2078</v>
      </c>
      <c r="C604" s="10">
        <v>7011.0503</v>
      </c>
      <c r="D604" s="11">
        <v>299424.449519322</v>
      </c>
      <c r="E604" s="18">
        <v>44060.95</v>
      </c>
      <c r="F604" s="11">
        <v>8067.4936</v>
      </c>
      <c r="G604" s="11">
        <v>229448.441724684</v>
      </c>
      <c r="H604" s="17">
        <v>41450.78</v>
      </c>
      <c r="I604" s="11">
        <v>6831.4489</v>
      </c>
      <c r="J604" s="11">
        <v>377138.984761881</v>
      </c>
      <c r="K604" s="17">
        <v>45334.87</v>
      </c>
    </row>
    <row r="605" ht="18" spans="1:11">
      <c r="A605" s="1" t="s">
        <v>27</v>
      </c>
      <c r="B605" s="1">
        <v>2079</v>
      </c>
      <c r="C605" s="10">
        <v>6943.5584</v>
      </c>
      <c r="D605" s="11">
        <v>297465.582582295</v>
      </c>
      <c r="E605" s="18">
        <v>44060.95</v>
      </c>
      <c r="F605" s="11">
        <v>8032.7378</v>
      </c>
      <c r="G605" s="11">
        <v>228221.314245039</v>
      </c>
      <c r="H605" s="17">
        <v>41450.78</v>
      </c>
      <c r="I605" s="11">
        <v>6761.1353</v>
      </c>
      <c r="J605" s="11">
        <v>380171.787404356</v>
      </c>
      <c r="K605" s="17">
        <v>45334.87</v>
      </c>
    </row>
    <row r="606" ht="18" spans="1:11">
      <c r="A606" s="1" t="s">
        <v>27</v>
      </c>
      <c r="B606" s="1">
        <v>2080</v>
      </c>
      <c r="C606" s="10">
        <v>6871.4656</v>
      </c>
      <c r="D606" s="11">
        <v>295394.003306954</v>
      </c>
      <c r="E606" s="18">
        <v>44060.95</v>
      </c>
      <c r="F606" s="11">
        <v>7996.9298</v>
      </c>
      <c r="G606" s="11">
        <v>226973.683823277</v>
      </c>
      <c r="H606" s="17">
        <v>41450.78</v>
      </c>
      <c r="I606" s="11">
        <v>6686.3381</v>
      </c>
      <c r="J606" s="11">
        <v>383326.903576227</v>
      </c>
      <c r="K606" s="17">
        <v>45334.87</v>
      </c>
    </row>
    <row r="607" ht="18" spans="1:11">
      <c r="A607" s="1" t="s">
        <v>27</v>
      </c>
      <c r="B607" s="1">
        <v>2081</v>
      </c>
      <c r="C607" s="10">
        <v>6793.5079</v>
      </c>
      <c r="D607" s="11">
        <v>293176.101425506</v>
      </c>
      <c r="E607" s="18">
        <v>44060.95</v>
      </c>
      <c r="F607" s="11">
        <v>7959.4702</v>
      </c>
      <c r="G607" s="11">
        <v>225617.344116917</v>
      </c>
      <c r="H607" s="17">
        <v>41450.78</v>
      </c>
      <c r="I607" s="11">
        <v>6605.808</v>
      </c>
      <c r="J607" s="11">
        <v>386484.127239333</v>
      </c>
      <c r="K607" s="17">
        <v>45334.87</v>
      </c>
    </row>
    <row r="608" ht="18" spans="1:11">
      <c r="A608" s="1" t="s">
        <v>27</v>
      </c>
      <c r="B608" s="1">
        <v>2082</v>
      </c>
      <c r="C608" s="10">
        <v>6710.4499</v>
      </c>
      <c r="D608" s="11">
        <v>290866.372030427</v>
      </c>
      <c r="E608" s="18">
        <v>44060.95</v>
      </c>
      <c r="F608" s="11">
        <v>7920.7865</v>
      </c>
      <c r="G608" s="11">
        <v>224191.049423787</v>
      </c>
      <c r="H608" s="17">
        <v>41450.78</v>
      </c>
      <c r="I608" s="11">
        <v>6520.2849</v>
      </c>
      <c r="J608" s="11">
        <v>389532.125897291</v>
      </c>
      <c r="K608" s="17">
        <v>45334.87</v>
      </c>
    </row>
    <row r="609" ht="18" spans="1:11">
      <c r="A609" s="1" t="s">
        <v>27</v>
      </c>
      <c r="B609" s="1">
        <v>2083</v>
      </c>
      <c r="C609" s="10">
        <v>6623.5643</v>
      </c>
      <c r="D609" s="11">
        <v>288541.336554257</v>
      </c>
      <c r="E609" s="18">
        <v>44060.95</v>
      </c>
      <c r="F609" s="11">
        <v>7881.5718</v>
      </c>
      <c r="G609" s="11">
        <v>222765.294201795</v>
      </c>
      <c r="H609" s="17">
        <v>41450.78</v>
      </c>
      <c r="I609" s="11">
        <v>6431.0082</v>
      </c>
      <c r="J609" s="11">
        <v>392361.785439165</v>
      </c>
      <c r="K609" s="17">
        <v>45334.87</v>
      </c>
    </row>
    <row r="610" ht="18" spans="1:11">
      <c r="A610" s="1" t="s">
        <v>27</v>
      </c>
      <c r="B610" s="1">
        <v>2084</v>
      </c>
      <c r="C610" s="10">
        <v>6534.1234</v>
      </c>
      <c r="D610" s="11">
        <v>286277.516429534</v>
      </c>
      <c r="E610" s="18">
        <v>44060.95</v>
      </c>
      <c r="F610" s="11">
        <v>7842.5288</v>
      </c>
      <c r="G610" s="11">
        <v>221410.572908847</v>
      </c>
      <c r="H610" s="17">
        <v>41450.78</v>
      </c>
      <c r="I610" s="11">
        <v>6339.2189</v>
      </c>
      <c r="J610" s="11">
        <v>394863.991754017</v>
      </c>
      <c r="K610" s="17">
        <v>45334.87</v>
      </c>
    </row>
    <row r="611" ht="18" spans="1:11">
      <c r="A611" s="1" t="s">
        <v>27</v>
      </c>
      <c r="B611" s="1">
        <v>2085</v>
      </c>
      <c r="C611" s="10">
        <v>6443.4012</v>
      </c>
      <c r="D611" s="11">
        <v>284151.433088799</v>
      </c>
      <c r="E611" s="18">
        <v>44060.95</v>
      </c>
      <c r="F611" s="11">
        <v>7804.371</v>
      </c>
      <c r="G611" s="11">
        <v>220197.38000285</v>
      </c>
      <c r="H611" s="17">
        <v>41450.78</v>
      </c>
      <c r="I611" s="11">
        <v>6246.162</v>
      </c>
      <c r="J611" s="11">
        <v>396929.63073091</v>
      </c>
      <c r="K611" s="17">
        <v>45334.87</v>
      </c>
    </row>
    <row r="612" ht="18" spans="1:11">
      <c r="A612" s="1" t="s">
        <v>27</v>
      </c>
      <c r="B612" s="1">
        <v>2086</v>
      </c>
      <c r="C612" s="10">
        <v>6352.6503</v>
      </c>
      <c r="D612" s="11">
        <v>282205.538495718</v>
      </c>
      <c r="E612" s="18">
        <v>44060.95</v>
      </c>
      <c r="F612" s="11">
        <v>7767.7044</v>
      </c>
      <c r="G612" s="11">
        <v>219190.709156519</v>
      </c>
      <c r="H612" s="17">
        <v>41450.78</v>
      </c>
      <c r="I612" s="11">
        <v>6153.0725</v>
      </c>
      <c r="J612" s="11">
        <v>398494.487856226</v>
      </c>
      <c r="K612" s="17">
        <v>45334.87</v>
      </c>
    </row>
    <row r="613" ht="18" spans="1:11">
      <c r="A613" s="1" t="s">
        <v>27</v>
      </c>
      <c r="B613" s="1">
        <v>2087</v>
      </c>
      <c r="C613" s="10">
        <v>6263.0355</v>
      </c>
      <c r="D613" s="11">
        <v>280346.006738462</v>
      </c>
      <c r="E613" s="18">
        <v>44060.95</v>
      </c>
      <c r="F613" s="11">
        <v>7732.6645</v>
      </c>
      <c r="G613" s="11">
        <v>218433.550901797</v>
      </c>
      <c r="H613" s="17">
        <v>41450.78</v>
      </c>
      <c r="I613" s="11">
        <v>6061.1345</v>
      </c>
      <c r="J613" s="11">
        <v>399673.94700563</v>
      </c>
      <c r="K613" s="17">
        <v>45334.87</v>
      </c>
    </row>
    <row r="614" ht="18" spans="1:11">
      <c r="A614" s="1" t="s">
        <v>27</v>
      </c>
      <c r="B614" s="1">
        <v>2088</v>
      </c>
      <c r="C614" s="10">
        <v>6175.7163</v>
      </c>
      <c r="D614" s="11">
        <v>278444.942436329</v>
      </c>
      <c r="E614" s="18">
        <v>44060.95</v>
      </c>
      <c r="F614" s="11">
        <v>7699.266</v>
      </c>
      <c r="G614" s="11">
        <v>217963.394985434</v>
      </c>
      <c r="H614" s="17">
        <v>41450.78</v>
      </c>
      <c r="I614" s="11">
        <v>5971.5379</v>
      </c>
      <c r="J614" s="11">
        <v>400628.291652101</v>
      </c>
      <c r="K614" s="17">
        <v>45334.87</v>
      </c>
    </row>
    <row r="615" ht="18" spans="1:11">
      <c r="A615" s="1" t="s">
        <v>27</v>
      </c>
      <c r="B615" s="1">
        <v>2089</v>
      </c>
      <c r="C615" s="10">
        <v>6091.8735</v>
      </c>
      <c r="D615" s="11">
        <v>276374.450208617</v>
      </c>
      <c r="E615" s="18">
        <v>44060.95</v>
      </c>
      <c r="F615" s="11">
        <v>7667.5215</v>
      </c>
      <c r="G615" s="11">
        <v>217817.73115418</v>
      </c>
      <c r="H615" s="17">
        <v>41450.78</v>
      </c>
      <c r="I615" s="11">
        <v>5885.496</v>
      </c>
      <c r="J615" s="11">
        <v>401517.805268624</v>
      </c>
      <c r="K615" s="17">
        <v>45334.87</v>
      </c>
    </row>
    <row r="616" ht="18" spans="1:11">
      <c r="A616" s="1" t="s">
        <v>27</v>
      </c>
      <c r="B616" s="1">
        <v>2090</v>
      </c>
      <c r="C616" s="10">
        <v>6012.709</v>
      </c>
      <c r="D616" s="11">
        <v>274006.634674621</v>
      </c>
      <c r="E616" s="18">
        <v>44060.95</v>
      </c>
      <c r="F616" s="11">
        <v>7637.4418</v>
      </c>
      <c r="G616" s="11">
        <v>218034.049154787</v>
      </c>
      <c r="H616" s="17">
        <v>41450.78</v>
      </c>
      <c r="I616" s="11">
        <v>5804.2453</v>
      </c>
      <c r="J616" s="11">
        <v>402502.771328181</v>
      </c>
      <c r="K616" s="17">
        <v>45334.87</v>
      </c>
    </row>
    <row r="617" ht="18" spans="1:11">
      <c r="A617" s="1" t="s">
        <v>27</v>
      </c>
      <c r="B617" s="1">
        <v>2091</v>
      </c>
      <c r="C617" s="10">
        <v>5939.1655</v>
      </c>
      <c r="D617" s="11">
        <v>271256.754276761</v>
      </c>
      <c r="E617" s="18">
        <v>44060.95</v>
      </c>
      <c r="F617" s="11">
        <v>7609.0304</v>
      </c>
      <c r="G617" s="11">
        <v>218629.647658384</v>
      </c>
      <c r="H617" s="17">
        <v>41450.78</v>
      </c>
      <c r="I617" s="11">
        <v>5728.7548</v>
      </c>
      <c r="J617" s="11">
        <v>403715.243038707</v>
      </c>
      <c r="K617" s="17">
        <v>45334.87</v>
      </c>
    </row>
    <row r="618" ht="18" spans="1:11">
      <c r="A618" s="1" t="s">
        <v>27</v>
      </c>
      <c r="B618" s="1">
        <v>2092</v>
      </c>
      <c r="C618" s="10">
        <v>5871.078</v>
      </c>
      <c r="D618" s="11">
        <v>268212.682749932</v>
      </c>
      <c r="E618" s="18">
        <v>44060.95</v>
      </c>
      <c r="F618" s="11">
        <v>7582.2676</v>
      </c>
      <c r="G618" s="11">
        <v>219541.06103362</v>
      </c>
      <c r="H618" s="17">
        <v>41450.78</v>
      </c>
      <c r="I618" s="11">
        <v>5658.847</v>
      </c>
      <c r="J618" s="11">
        <v>405174.352547955</v>
      </c>
      <c r="K618" s="17">
        <v>45334.87</v>
      </c>
    </row>
    <row r="619" ht="18" spans="1:11">
      <c r="A619" s="1" t="s">
        <v>27</v>
      </c>
      <c r="B619" s="1">
        <v>2093</v>
      </c>
      <c r="C619" s="10">
        <v>5807.9972</v>
      </c>
      <c r="D619" s="11">
        <v>265005.447652151</v>
      </c>
      <c r="E619" s="18">
        <v>44060.95</v>
      </c>
      <c r="F619" s="11">
        <v>7557.1322</v>
      </c>
      <c r="G619" s="11">
        <v>220684.632573523</v>
      </c>
      <c r="H619" s="17">
        <v>41450.78</v>
      </c>
      <c r="I619" s="11">
        <v>5594.0486</v>
      </c>
      <c r="J619" s="11">
        <v>406871.001738629</v>
      </c>
      <c r="K619" s="17">
        <v>45334.87</v>
      </c>
    </row>
    <row r="620" ht="18" spans="1:11">
      <c r="A620" s="1" t="s">
        <v>27</v>
      </c>
      <c r="B620" s="1">
        <v>2094</v>
      </c>
      <c r="C620" s="10">
        <v>5749.4665</v>
      </c>
      <c r="D620" s="11">
        <v>261766.076541434</v>
      </c>
      <c r="E620" s="18">
        <v>44060.95</v>
      </c>
      <c r="F620" s="11">
        <v>7533.6076</v>
      </c>
      <c r="G620" s="11">
        <v>221976.705571121</v>
      </c>
      <c r="H620" s="17">
        <v>41450.78</v>
      </c>
      <c r="I620" s="11">
        <v>5533.8784</v>
      </c>
      <c r="J620" s="11">
        <v>408796.092493437</v>
      </c>
      <c r="K620" s="17">
        <v>45334.87</v>
      </c>
    </row>
    <row r="621" ht="18" spans="1:11">
      <c r="A621" s="1" t="s">
        <v>27</v>
      </c>
      <c r="B621" s="1">
        <v>2095</v>
      </c>
      <c r="C621" s="10">
        <v>5695.0223</v>
      </c>
      <c r="D621" s="11">
        <v>258625.596975798</v>
      </c>
      <c r="E621" s="18">
        <v>44060.95</v>
      </c>
      <c r="F621" s="11">
        <v>7511.681</v>
      </c>
      <c r="G621" s="11">
        <v>223333.623319442</v>
      </c>
      <c r="H621" s="17">
        <v>41450.78</v>
      </c>
      <c r="I621" s="11">
        <v>5477.8469</v>
      </c>
      <c r="J621" s="11">
        <v>410940.526695081</v>
      </c>
      <c r="K621" s="17">
        <v>45334.87</v>
      </c>
    </row>
    <row r="622" ht="18" spans="1:11">
      <c r="A622" s="1" t="s">
        <v>27</v>
      </c>
      <c r="B622" s="1">
        <v>2096</v>
      </c>
      <c r="C622" s="10">
        <v>5644.1948</v>
      </c>
      <c r="D622" s="11">
        <v>255715.036513259</v>
      </c>
      <c r="E622" s="18">
        <v>44060.95</v>
      </c>
      <c r="F622" s="11">
        <v>7491.343</v>
      </c>
      <c r="G622" s="11">
        <v>224671.729111515</v>
      </c>
      <c r="H622" s="17">
        <v>41450.78</v>
      </c>
      <c r="I622" s="11">
        <v>5425.4575</v>
      </c>
      <c r="J622" s="11">
        <v>413295.206226269</v>
      </c>
      <c r="K622" s="17">
        <v>45334.87</v>
      </c>
    </row>
    <row r="623" ht="18" spans="1:11">
      <c r="A623" s="1" t="s">
        <v>27</v>
      </c>
      <c r="B623" s="1">
        <v>2097</v>
      </c>
      <c r="C623" s="10">
        <v>5596.5079</v>
      </c>
      <c r="D623" s="11">
        <v>253165.422711833</v>
      </c>
      <c r="E623" s="18">
        <v>44060.95</v>
      </c>
      <c r="F623" s="11">
        <v>7472.587</v>
      </c>
      <c r="G623" s="11">
        <v>225907.366240366</v>
      </c>
      <c r="H623" s="17">
        <v>41450.78</v>
      </c>
      <c r="I623" s="11">
        <v>5376.2066</v>
      </c>
      <c r="J623" s="11">
        <v>415851.032969705</v>
      </c>
      <c r="K623" s="17">
        <v>45334.87</v>
      </c>
    </row>
    <row r="624" ht="18" spans="1:11">
      <c r="A624" s="1" t="s">
        <v>27</v>
      </c>
      <c r="B624" s="1">
        <v>2098</v>
      </c>
      <c r="C624" s="10">
        <v>5551.4802</v>
      </c>
      <c r="D624" s="11">
        <v>251107.783129537</v>
      </c>
      <c r="E624" s="18">
        <v>44060.95</v>
      </c>
      <c r="F624" s="11">
        <v>7455.409</v>
      </c>
      <c r="G624" s="11">
        <v>226956.877999026</v>
      </c>
      <c r="H624" s="17">
        <v>41450.78</v>
      </c>
      <c r="I624" s="11">
        <v>5329.5843</v>
      </c>
      <c r="J624" s="11">
        <v>418598.908808095</v>
      </c>
      <c r="K624" s="17">
        <v>45334.87</v>
      </c>
    </row>
    <row r="625" ht="18" spans="1:11">
      <c r="A625" s="1" t="s">
        <v>27</v>
      </c>
      <c r="B625" s="1">
        <v>2099</v>
      </c>
      <c r="C625" s="10">
        <v>5508.6254</v>
      </c>
      <c r="D625" s="11">
        <v>249673.145324387</v>
      </c>
      <c r="E625" s="18">
        <v>44060.95</v>
      </c>
      <c r="F625" s="11">
        <v>7439.8066</v>
      </c>
      <c r="G625" s="11">
        <v>227736.607680522</v>
      </c>
      <c r="H625" s="17">
        <v>41450.78</v>
      </c>
      <c r="I625" s="11">
        <v>5285.0751</v>
      </c>
      <c r="J625" s="11">
        <v>421529.735624144</v>
      </c>
      <c r="K625" s="17">
        <v>45334.87</v>
      </c>
    </row>
    <row r="626" ht="18" spans="1:11">
      <c r="A626" s="1" t="s">
        <v>27</v>
      </c>
      <c r="B626" s="1">
        <v>2100</v>
      </c>
      <c r="C626" s="10">
        <v>5467.4531</v>
      </c>
      <c r="D626" s="11">
        <v>248992.536854399</v>
      </c>
      <c r="E626" s="18">
        <v>44060.95</v>
      </c>
      <c r="F626" s="11">
        <v>7425.7792</v>
      </c>
      <c r="G626" s="11">
        <v>228162.898577881</v>
      </c>
      <c r="H626" s="17">
        <v>41450.78</v>
      </c>
      <c r="I626" s="11">
        <v>5242.1588</v>
      </c>
      <c r="J626" s="11">
        <v>424634.415300557</v>
      </c>
      <c r="K626" s="17">
        <v>45334.87</v>
      </c>
    </row>
    <row r="627" spans="1:11">
      <c r="A627" s="1" t="s">
        <v>11</v>
      </c>
      <c r="B627" s="1">
        <v>2023</v>
      </c>
      <c r="C627" s="10">
        <v>11880.2213</v>
      </c>
      <c r="D627" s="11">
        <v>93862.2179509343</v>
      </c>
      <c r="E627" s="16">
        <v>15929.52</v>
      </c>
      <c r="F627" s="11">
        <v>12092.882</v>
      </c>
      <c r="G627" s="11">
        <v>92513.2665626414</v>
      </c>
      <c r="H627" s="17">
        <v>15443.6</v>
      </c>
      <c r="I627" s="11">
        <v>12046.524</v>
      </c>
      <c r="J627" s="11">
        <v>94748.6524829737</v>
      </c>
      <c r="K627" s="17">
        <v>15957.76</v>
      </c>
    </row>
    <row r="628" spans="1:11">
      <c r="A628" s="1" t="s">
        <v>11</v>
      </c>
      <c r="B628" s="1">
        <v>2024</v>
      </c>
      <c r="C628" s="10">
        <v>11968.6678</v>
      </c>
      <c r="D628" s="11">
        <v>97696.9506097792</v>
      </c>
      <c r="E628" s="3">
        <f>(E627+E629)/2</f>
        <v>16609.6</v>
      </c>
      <c r="F628" s="11">
        <v>12203.9632</v>
      </c>
      <c r="G628" s="11">
        <v>96237.49465773</v>
      </c>
      <c r="H628" s="4">
        <f>(H627+H629)/2</f>
        <v>16002.1</v>
      </c>
      <c r="I628" s="11">
        <v>12171.4661</v>
      </c>
      <c r="J628" s="11">
        <v>98407.1432037183</v>
      </c>
      <c r="K628" s="4">
        <f>(K627+K629)/2</f>
        <v>16667.155</v>
      </c>
    </row>
    <row r="629" spans="1:11">
      <c r="A629" s="1" t="s">
        <v>11</v>
      </c>
      <c r="B629" s="1">
        <v>2025</v>
      </c>
      <c r="C629" s="10">
        <v>12053.35</v>
      </c>
      <c r="D629" s="11">
        <v>101711.84147564</v>
      </c>
      <c r="E629" s="16">
        <v>17289.68</v>
      </c>
      <c r="F629" s="11">
        <v>12309.5734</v>
      </c>
      <c r="G629" s="11">
        <v>100152.495113151</v>
      </c>
      <c r="H629" s="17">
        <v>16560.6</v>
      </c>
      <c r="I629" s="11">
        <v>12297.2816</v>
      </c>
      <c r="J629" s="11">
        <v>102236.91245318</v>
      </c>
      <c r="K629" s="17">
        <v>17376.55</v>
      </c>
    </row>
    <row r="630" spans="1:11">
      <c r="A630" s="1" t="s">
        <v>11</v>
      </c>
      <c r="B630" s="1">
        <v>2026</v>
      </c>
      <c r="C630" s="10">
        <v>12134.6428</v>
      </c>
      <c r="D630" s="11">
        <v>105903.065993279</v>
      </c>
      <c r="E630" s="3">
        <f t="shared" ref="E630:E633" si="118">E629*(1+$L$629)</f>
        <v>17289.68</v>
      </c>
      <c r="F630" s="11">
        <v>12410.1513</v>
      </c>
      <c r="G630" s="11">
        <v>104272.720581478</v>
      </c>
      <c r="H630" s="4">
        <f t="shared" ref="H630:H633" si="119">H629*(1+M$629)</f>
        <v>16560.6</v>
      </c>
      <c r="I630" s="11">
        <v>12424.5051</v>
      </c>
      <c r="J630" s="11">
        <v>106251.667280466</v>
      </c>
      <c r="K630" s="4">
        <f t="shared" ref="K630:K633" si="120">K629*(1+N$629)</f>
        <v>17376.55</v>
      </c>
    </row>
    <row r="631" spans="1:11">
      <c r="A631" s="1" t="s">
        <v>11</v>
      </c>
      <c r="B631" s="1">
        <v>2027</v>
      </c>
      <c r="C631" s="10">
        <v>12212.7538</v>
      </c>
      <c r="D631" s="11">
        <v>110248.113982586</v>
      </c>
      <c r="E631" s="3">
        <f t="shared" si="118"/>
        <v>17289.68</v>
      </c>
      <c r="F631" s="11">
        <v>12506.0955</v>
      </c>
      <c r="G631" s="11">
        <v>108571.837629733</v>
      </c>
      <c r="H631" s="4">
        <f t="shared" si="119"/>
        <v>16560.6</v>
      </c>
      <c r="I631" s="11">
        <v>12552.4075</v>
      </c>
      <c r="J631" s="11">
        <v>110465.244422991</v>
      </c>
      <c r="K631" s="4">
        <f t="shared" si="120"/>
        <v>17376.55</v>
      </c>
    </row>
    <row r="632" spans="1:11">
      <c r="A632" s="1" t="s">
        <v>11</v>
      </c>
      <c r="B632" s="1">
        <v>2028</v>
      </c>
      <c r="C632" s="10">
        <v>12287.8416</v>
      </c>
      <c r="D632" s="11">
        <v>114719.80385723</v>
      </c>
      <c r="E632" s="3">
        <f t="shared" si="118"/>
        <v>17289.68</v>
      </c>
      <c r="F632" s="11">
        <v>12597.7979</v>
      </c>
      <c r="G632" s="11">
        <v>113013.316303546</v>
      </c>
      <c r="H632" s="4">
        <f t="shared" si="119"/>
        <v>16560.6</v>
      </c>
      <c r="I632" s="11">
        <v>12679.9358</v>
      </c>
      <c r="J632" s="11">
        <v>114891.513040242</v>
      </c>
      <c r="K632" s="4">
        <f t="shared" si="120"/>
        <v>17376.55</v>
      </c>
    </row>
    <row r="633" spans="1:11">
      <c r="A633" s="1" t="s">
        <v>11</v>
      </c>
      <c r="B633" s="1">
        <v>2029</v>
      </c>
      <c r="C633" s="10">
        <v>12360.0559</v>
      </c>
      <c r="D633" s="11">
        <v>119290.954030882</v>
      </c>
      <c r="E633" s="3">
        <f t="shared" si="118"/>
        <v>17289.68</v>
      </c>
      <c r="F633" s="11">
        <v>12685.6534</v>
      </c>
      <c r="G633" s="11">
        <v>117560.626648548</v>
      </c>
      <c r="H633" s="4">
        <f t="shared" si="119"/>
        <v>16560.6</v>
      </c>
      <c r="I633" s="11">
        <v>12806.0266</v>
      </c>
      <c r="J633" s="11">
        <v>119544.342291709</v>
      </c>
      <c r="K633" s="4">
        <f t="shared" si="120"/>
        <v>17376.55</v>
      </c>
    </row>
    <row r="634" spans="1:11">
      <c r="A634" s="1" t="s">
        <v>11</v>
      </c>
      <c r="B634" s="1">
        <v>2030</v>
      </c>
      <c r="C634" s="10">
        <v>12429.5383</v>
      </c>
      <c r="D634" s="11">
        <v>123934.382917211</v>
      </c>
      <c r="E634" s="18">
        <v>18649.84</v>
      </c>
      <c r="F634" s="11">
        <v>12770.0607</v>
      </c>
      <c r="G634" s="11">
        <v>122177.238710371</v>
      </c>
      <c r="H634" s="17">
        <v>17608.31</v>
      </c>
      <c r="I634" s="11">
        <v>12929.6042</v>
      </c>
      <c r="J634" s="11">
        <v>124437.601336883</v>
      </c>
      <c r="K634" s="17">
        <v>18808.04</v>
      </c>
    </row>
    <row r="635" spans="1:11">
      <c r="A635" s="1" t="s">
        <v>11</v>
      </c>
      <c r="B635" s="1">
        <v>2031</v>
      </c>
      <c r="C635" s="10">
        <v>12496.4323</v>
      </c>
      <c r="D635" s="11">
        <v>128622.853733583</v>
      </c>
      <c r="E635" s="3">
        <f t="shared" ref="E635:E638" si="121">E634*(1+$L$634)</f>
        <v>18649.84</v>
      </c>
      <c r="F635" s="11">
        <v>12851.4231</v>
      </c>
      <c r="G635" s="11">
        <v>126824.986213593</v>
      </c>
      <c r="H635" s="4">
        <f t="shared" ref="H635:H638" si="122">H634*(1+M$634)</f>
        <v>17608.31</v>
      </c>
      <c r="I635" s="11">
        <v>13049.8423</v>
      </c>
      <c r="J635" s="11">
        <v>129565.558649907</v>
      </c>
      <c r="K635" s="4">
        <f t="shared" ref="K635:K638" si="123">K634*(1+N$634)</f>
        <v>18808.04</v>
      </c>
    </row>
    <row r="636" spans="1:11">
      <c r="A636" s="1" t="s">
        <v>11</v>
      </c>
      <c r="B636" s="1">
        <v>2032</v>
      </c>
      <c r="C636" s="10">
        <v>12560.9177</v>
      </c>
      <c r="D636" s="11">
        <v>133328.908912147</v>
      </c>
      <c r="E636" s="3">
        <f t="shared" si="121"/>
        <v>18649.84</v>
      </c>
      <c r="F636" s="11">
        <v>12930.1544</v>
      </c>
      <c r="G636" s="11">
        <v>131459.157598585</v>
      </c>
      <c r="H636" s="4">
        <f t="shared" si="122"/>
        <v>17608.31</v>
      </c>
      <c r="I636" s="11">
        <v>13166.9549</v>
      </c>
      <c r="J636" s="11">
        <v>134844.079963549</v>
      </c>
      <c r="K636" s="4">
        <f t="shared" si="123"/>
        <v>18808.04</v>
      </c>
    </row>
    <row r="637" spans="1:11">
      <c r="A637" s="1" t="s">
        <v>11</v>
      </c>
      <c r="B637" s="1">
        <v>2033</v>
      </c>
      <c r="C637" s="10">
        <v>12623.1831</v>
      </c>
      <c r="D637" s="11">
        <v>138025.035688745</v>
      </c>
      <c r="E637" s="3">
        <f t="shared" si="121"/>
        <v>18649.84</v>
      </c>
      <c r="F637" s="11">
        <v>13006.6732</v>
      </c>
      <c r="G637" s="11">
        <v>136033.404984664</v>
      </c>
      <c r="H637" s="4">
        <f t="shared" si="122"/>
        <v>17608.31</v>
      </c>
      <c r="I637" s="11">
        <v>13281.4164</v>
      </c>
      <c r="J637" s="11">
        <v>140169.430325231</v>
      </c>
      <c r="K637" s="4">
        <f t="shared" si="123"/>
        <v>18808.04</v>
      </c>
    </row>
    <row r="638" spans="1:11">
      <c r="A638" s="1" t="s">
        <v>11</v>
      </c>
      <c r="B638" s="1">
        <v>2034</v>
      </c>
      <c r="C638" s="10">
        <v>12683.4165</v>
      </c>
      <c r="D638" s="11">
        <v>142683.72129922</v>
      </c>
      <c r="E638" s="3">
        <f t="shared" si="121"/>
        <v>18649.84</v>
      </c>
      <c r="F638" s="11">
        <v>13081.401</v>
      </c>
      <c r="G638" s="11">
        <v>140501.380491146</v>
      </c>
      <c r="H638" s="4">
        <f t="shared" si="122"/>
        <v>17608.31</v>
      </c>
      <c r="I638" s="11">
        <v>13393.6999</v>
      </c>
      <c r="J638" s="11">
        <v>145437.874782375</v>
      </c>
      <c r="K638" s="4">
        <f t="shared" si="123"/>
        <v>18808.04</v>
      </c>
    </row>
    <row r="639" spans="1:11">
      <c r="A639" s="1" t="s">
        <v>11</v>
      </c>
      <c r="B639" s="1">
        <v>2035</v>
      </c>
      <c r="C639" s="10">
        <v>12741.8055</v>
      </c>
      <c r="D639" s="11">
        <v>147277.452979416</v>
      </c>
      <c r="E639" s="18">
        <v>19539.79</v>
      </c>
      <c r="F639" s="11">
        <v>13154.7622</v>
      </c>
      <c r="G639" s="11">
        <v>144816.736237349</v>
      </c>
      <c r="H639" s="17">
        <v>18326.93</v>
      </c>
      <c r="I639" s="11">
        <v>13504.2779</v>
      </c>
      <c r="J639" s="11">
        <v>150545.678382404</v>
      </c>
      <c r="K639" s="17">
        <v>19770.17</v>
      </c>
    </row>
    <row r="640" spans="1:11">
      <c r="A640" s="1" t="s">
        <v>11</v>
      </c>
      <c r="B640" s="1">
        <v>2036</v>
      </c>
      <c r="C640" s="10">
        <v>12798.4916</v>
      </c>
      <c r="D640" s="11">
        <v>151780.184997035</v>
      </c>
      <c r="E640" s="3">
        <f t="shared" ref="E640:E643" si="124">E639*(1+$L$639)</f>
        <v>19539.79</v>
      </c>
      <c r="F640" s="11">
        <v>13227.0962</v>
      </c>
      <c r="G640" s="11">
        <v>148933.420070694</v>
      </c>
      <c r="H640" s="4">
        <f t="shared" ref="H640:H643" si="125">H639*(1+M$639)</f>
        <v>18326.93</v>
      </c>
      <c r="I640" s="11">
        <v>13613.5079</v>
      </c>
      <c r="J640" s="11">
        <v>155414.659816891</v>
      </c>
      <c r="K640" s="4">
        <f t="shared" ref="K640:K643" si="126">K639*(1+N$639)</f>
        <v>19770.17</v>
      </c>
    </row>
    <row r="641" spans="1:11">
      <c r="A641" s="1" t="s">
        <v>11</v>
      </c>
      <c r="B641" s="1">
        <v>2037</v>
      </c>
      <c r="C641" s="10">
        <v>12853.436</v>
      </c>
      <c r="D641" s="11">
        <v>156171.739747218</v>
      </c>
      <c r="E641" s="3">
        <f t="shared" si="124"/>
        <v>19539.79</v>
      </c>
      <c r="F641" s="11">
        <v>13298.3921</v>
      </c>
      <c r="G641" s="11">
        <v>152806.562751019</v>
      </c>
      <c r="H641" s="4">
        <f t="shared" si="125"/>
        <v>18326.93</v>
      </c>
      <c r="I641" s="11">
        <v>13721.2898</v>
      </c>
      <c r="J641" s="11">
        <v>160068.852354019</v>
      </c>
      <c r="K641" s="4">
        <f t="shared" si="126"/>
        <v>19770.17</v>
      </c>
    </row>
    <row r="642" spans="1:11">
      <c r="A642" s="1" t="s">
        <v>11</v>
      </c>
      <c r="B642" s="1">
        <v>2038</v>
      </c>
      <c r="C642" s="10">
        <v>12906.5534</v>
      </c>
      <c r="D642" s="11">
        <v>160433.406656962</v>
      </c>
      <c r="E642" s="3">
        <f t="shared" si="124"/>
        <v>19539.79</v>
      </c>
      <c r="F642" s="11">
        <v>13368.5499</v>
      </c>
      <c r="G642" s="11">
        <v>156391.590766268</v>
      </c>
      <c r="H642" s="4">
        <f t="shared" si="125"/>
        <v>18326.93</v>
      </c>
      <c r="I642" s="11">
        <v>13827.4078</v>
      </c>
      <c r="J642" s="11">
        <v>164557.842906122</v>
      </c>
      <c r="K642" s="4">
        <f t="shared" si="126"/>
        <v>19770.17</v>
      </c>
    </row>
    <row r="643" spans="1:11">
      <c r="A643" s="1" t="s">
        <v>11</v>
      </c>
      <c r="B643" s="1">
        <v>2039</v>
      </c>
      <c r="C643" s="10">
        <v>12957.758</v>
      </c>
      <c r="D643" s="11">
        <v>164546.475153269</v>
      </c>
      <c r="E643" s="3">
        <f t="shared" si="124"/>
        <v>19539.79</v>
      </c>
      <c r="F643" s="11">
        <v>13437.4677</v>
      </c>
      <c r="G643" s="11">
        <v>159643.930604385</v>
      </c>
      <c r="H643" s="4">
        <f t="shared" si="125"/>
        <v>18326.93</v>
      </c>
      <c r="I643" s="11">
        <v>13931.6438</v>
      </c>
      <c r="J643" s="11">
        <v>168931.218385535</v>
      </c>
      <c r="K643" s="4">
        <f t="shared" si="126"/>
        <v>19770.17</v>
      </c>
    </row>
    <row r="644" spans="1:11">
      <c r="A644" s="1" t="s">
        <v>11</v>
      </c>
      <c r="B644" s="1">
        <v>2040</v>
      </c>
      <c r="C644" s="10">
        <v>13006.9628</v>
      </c>
      <c r="D644" s="11">
        <v>168492.234663135</v>
      </c>
      <c r="E644" s="18">
        <v>20398.9</v>
      </c>
      <c r="F644" s="11">
        <v>13505.0424</v>
      </c>
      <c r="G644" s="11">
        <v>162519.008753311</v>
      </c>
      <c r="H644" s="17">
        <v>19030.68</v>
      </c>
      <c r="I644" s="11">
        <v>14033.7781</v>
      </c>
      <c r="J644" s="11">
        <v>173238.56570459</v>
      </c>
      <c r="K644" s="17">
        <v>20711.93</v>
      </c>
    </row>
    <row r="645" spans="1:11">
      <c r="A645" s="1" t="s">
        <v>11</v>
      </c>
      <c r="B645" s="1">
        <v>2041</v>
      </c>
      <c r="C645" s="10">
        <v>13054.0777</v>
      </c>
      <c r="D645" s="11">
        <v>172260.734498781</v>
      </c>
      <c r="E645" s="3">
        <f t="shared" ref="E645:E648" si="127">E644*(1+$L$644)</f>
        <v>20398.9</v>
      </c>
      <c r="F645" s="11">
        <v>13571.1631</v>
      </c>
      <c r="G645" s="11">
        <v>164986.946479974</v>
      </c>
      <c r="H645" s="4">
        <f t="shared" ref="H645:H648" si="128">H644*(1+M$644)</f>
        <v>19030.68</v>
      </c>
      <c r="I645" s="11">
        <v>14133.6164</v>
      </c>
      <c r="J645" s="11">
        <v>177510.340195703</v>
      </c>
      <c r="K645" s="4">
        <f t="shared" ref="K645:K648" si="129">K644*(1+N$644)</f>
        <v>20711.93</v>
      </c>
    </row>
    <row r="646" spans="1:11">
      <c r="A646" s="1" t="s">
        <v>11</v>
      </c>
      <c r="B646" s="1">
        <v>2042</v>
      </c>
      <c r="C646" s="10">
        <v>13099.0024</v>
      </c>
      <c r="D646" s="11">
        <v>175877.063513304</v>
      </c>
      <c r="E646" s="3">
        <f t="shared" si="127"/>
        <v>20398.9</v>
      </c>
      <c r="F646" s="11">
        <v>13635.6906</v>
      </c>
      <c r="G646" s="11">
        <v>167076.644167241</v>
      </c>
      <c r="H646" s="4">
        <f t="shared" si="128"/>
        <v>19030.68</v>
      </c>
      <c r="I646" s="11">
        <v>14231.0715</v>
      </c>
      <c r="J646" s="11">
        <v>181700.470871604</v>
      </c>
      <c r="K646" s="4">
        <f t="shared" si="129"/>
        <v>20711.93</v>
      </c>
    </row>
    <row r="647" spans="1:11">
      <c r="A647" s="1" t="s">
        <v>11</v>
      </c>
      <c r="B647" s="1">
        <v>2043</v>
      </c>
      <c r="C647" s="10">
        <v>13141.6327</v>
      </c>
      <c r="D647" s="11">
        <v>179375.070445021</v>
      </c>
      <c r="E647" s="3">
        <f t="shared" si="127"/>
        <v>20398.9</v>
      </c>
      <c r="F647" s="11">
        <v>13698.4748</v>
      </c>
      <c r="G647" s="11">
        <v>168831.69697696</v>
      </c>
      <c r="H647" s="4">
        <f t="shared" si="128"/>
        <v>19030.68</v>
      </c>
      <c r="I647" s="11">
        <v>14326.0804</v>
      </c>
      <c r="J647" s="11">
        <v>185743.755165108</v>
      </c>
      <c r="K647" s="4">
        <f t="shared" si="129"/>
        <v>20711.93</v>
      </c>
    </row>
    <row r="648" spans="1:11">
      <c r="A648" s="1" t="s">
        <v>11</v>
      </c>
      <c r="B648" s="1">
        <v>2044</v>
      </c>
      <c r="C648" s="10">
        <v>13181.8625</v>
      </c>
      <c r="D648" s="11">
        <v>182788.604032251</v>
      </c>
      <c r="E648" s="3">
        <f t="shared" si="127"/>
        <v>20398.9</v>
      </c>
      <c r="F648" s="11">
        <v>13759.3614</v>
      </c>
      <c r="G648" s="11">
        <v>170295.700070983</v>
      </c>
      <c r="H648" s="4">
        <f t="shared" si="128"/>
        <v>19030.68</v>
      </c>
      <c r="I648" s="11">
        <v>14418.5769</v>
      </c>
      <c r="J648" s="11">
        <v>189574.990509026</v>
      </c>
      <c r="K648" s="4">
        <f t="shared" si="129"/>
        <v>20711.93</v>
      </c>
    </row>
    <row r="649" spans="1:11">
      <c r="A649" s="1" t="s">
        <v>11</v>
      </c>
      <c r="B649" s="1">
        <v>2045</v>
      </c>
      <c r="C649" s="10">
        <v>13219.5836</v>
      </c>
      <c r="D649" s="11">
        <v>186151.51301331</v>
      </c>
      <c r="E649" s="18">
        <v>20764.96</v>
      </c>
      <c r="F649" s="11">
        <v>13818.1913</v>
      </c>
      <c r="G649" s="11">
        <v>171512.248611159</v>
      </c>
      <c r="H649" s="17">
        <v>19454.72</v>
      </c>
      <c r="I649" s="11">
        <v>14508.4913</v>
      </c>
      <c r="J649" s="11">
        <v>193128.974336169</v>
      </c>
      <c r="K649" s="17">
        <v>21228.74</v>
      </c>
    </row>
    <row r="650" spans="1:11">
      <c r="A650" s="1" t="s">
        <v>11</v>
      </c>
      <c r="B650" s="1">
        <v>2046</v>
      </c>
      <c r="C650" s="10">
        <v>13254.6941</v>
      </c>
      <c r="D650" s="11">
        <v>189499.204076729</v>
      </c>
      <c r="E650" s="3">
        <f t="shared" ref="E650:E653" si="130">E649*(1+$L$649)</f>
        <v>20764.96</v>
      </c>
      <c r="F650" s="11">
        <v>13874.7855</v>
      </c>
      <c r="G650" s="11">
        <v>172538.664418439</v>
      </c>
      <c r="H650" s="4">
        <f t="shared" ref="H650:H653" si="131">H649*(1+M$649)</f>
        <v>19454.72</v>
      </c>
      <c r="I650" s="11">
        <v>14595.7559</v>
      </c>
      <c r="J650" s="11">
        <v>196384.370204196</v>
      </c>
      <c r="K650" s="4">
        <f t="shared" ref="K650:K653" si="132">K649*(1+N$649)</f>
        <v>21228.74</v>
      </c>
    </row>
    <row r="651" spans="1:11">
      <c r="A651" s="1" t="s">
        <v>11</v>
      </c>
      <c r="B651" s="1">
        <v>2047</v>
      </c>
      <c r="C651" s="10">
        <v>13287.1227</v>
      </c>
      <c r="D651" s="11">
        <v>192873.315711891</v>
      </c>
      <c r="E651" s="3">
        <f t="shared" si="130"/>
        <v>20764.96</v>
      </c>
      <c r="F651" s="11">
        <v>13928.9041</v>
      </c>
      <c r="G651" s="11">
        <v>173487.175950176</v>
      </c>
      <c r="H651" s="4">
        <f t="shared" si="131"/>
        <v>19454.72</v>
      </c>
      <c r="I651" s="11">
        <v>14680.323</v>
      </c>
      <c r="J651" s="11">
        <v>199495.30617014</v>
      </c>
      <c r="K651" s="4">
        <f t="shared" si="132"/>
        <v>21228.74</v>
      </c>
    </row>
    <row r="652" spans="1:11">
      <c r="A652" s="1" t="s">
        <v>11</v>
      </c>
      <c r="B652" s="1">
        <v>2048</v>
      </c>
      <c r="C652" s="10">
        <v>13316.8101</v>
      </c>
      <c r="D652" s="11">
        <v>196317.044358392</v>
      </c>
      <c r="E652" s="3">
        <f t="shared" si="130"/>
        <v>20764.96</v>
      </c>
      <c r="F652" s="11">
        <v>13980.2972</v>
      </c>
      <c r="G652" s="11">
        <v>174483.738322823</v>
      </c>
      <c r="H652" s="4">
        <f t="shared" si="131"/>
        <v>19454.72</v>
      </c>
      <c r="I652" s="11">
        <v>14762.1572</v>
      </c>
      <c r="J652" s="11">
        <v>202659.776415881</v>
      </c>
      <c r="K652" s="4">
        <f t="shared" si="132"/>
        <v>21228.74</v>
      </c>
    </row>
    <row r="653" spans="1:11">
      <c r="A653" s="1" t="s">
        <v>11</v>
      </c>
      <c r="B653" s="1">
        <v>2049</v>
      </c>
      <c r="C653" s="10">
        <v>13343.7016</v>
      </c>
      <c r="D653" s="11">
        <v>199873.586455825</v>
      </c>
      <c r="E653" s="3">
        <f t="shared" si="130"/>
        <v>20764.96</v>
      </c>
      <c r="F653" s="11">
        <v>14028.7215</v>
      </c>
      <c r="G653" s="11">
        <v>175654.306652833</v>
      </c>
      <c r="H653" s="4">
        <f t="shared" si="131"/>
        <v>19454.72</v>
      </c>
      <c r="I653" s="11">
        <v>14841.231</v>
      </c>
      <c r="J653" s="11">
        <v>206075.775123297</v>
      </c>
      <c r="K653" s="4">
        <f t="shared" si="132"/>
        <v>21228.74</v>
      </c>
    </row>
    <row r="654" spans="1:11">
      <c r="A654" s="1" t="s">
        <v>11</v>
      </c>
      <c r="B654" s="1">
        <v>2050</v>
      </c>
      <c r="C654" s="10">
        <v>13367.7469</v>
      </c>
      <c r="D654" s="11">
        <v>203586.138443788</v>
      </c>
      <c r="E654" s="18">
        <v>21132.51</v>
      </c>
      <c r="F654" s="11">
        <v>14073.9405</v>
      </c>
      <c r="G654" s="11">
        <v>177124.836056661</v>
      </c>
      <c r="H654" s="17">
        <v>19864.79</v>
      </c>
      <c r="I654" s="11">
        <v>14917.5254</v>
      </c>
      <c r="J654" s="11">
        <v>209941.296474268</v>
      </c>
      <c r="K654" s="17">
        <v>21736.6</v>
      </c>
    </row>
    <row r="655" spans="1:11">
      <c r="A655" s="1" t="s">
        <v>11</v>
      </c>
      <c r="B655" s="1">
        <v>2051</v>
      </c>
      <c r="C655" s="10">
        <v>13388.9074</v>
      </c>
      <c r="D655" s="11">
        <v>207478.166190567</v>
      </c>
      <c r="E655" s="18">
        <v>21132.51</v>
      </c>
      <c r="F655" s="11">
        <v>14115.766</v>
      </c>
      <c r="G655" s="11">
        <v>178978.107708662</v>
      </c>
      <c r="H655" s="17">
        <v>19864.79</v>
      </c>
      <c r="I655" s="11">
        <v>14991.036</v>
      </c>
      <c r="J655" s="11">
        <v>214386.037525942</v>
      </c>
      <c r="K655" s="17">
        <v>21736.6</v>
      </c>
    </row>
    <row r="656" spans="1:11">
      <c r="A656" s="1" t="s">
        <v>11</v>
      </c>
      <c r="B656" s="1">
        <v>2052</v>
      </c>
      <c r="C656" s="10">
        <v>13407.1784</v>
      </c>
      <c r="D656" s="11">
        <v>211494.213279226</v>
      </c>
      <c r="E656" s="18">
        <v>21132.51</v>
      </c>
      <c r="F656" s="11">
        <v>14154.1833</v>
      </c>
      <c r="G656" s="11">
        <v>181124.207014805</v>
      </c>
      <c r="H656" s="17">
        <v>19864.79</v>
      </c>
      <c r="I656" s="11">
        <v>15061.7938</v>
      </c>
      <c r="J656" s="11">
        <v>219266.506836541</v>
      </c>
      <c r="K656" s="17">
        <v>21736.6</v>
      </c>
    </row>
    <row r="657" spans="1:11">
      <c r="A657" s="1" t="s">
        <v>11</v>
      </c>
      <c r="B657" s="1">
        <v>2053</v>
      </c>
      <c r="C657" s="10">
        <v>13422.5713</v>
      </c>
      <c r="D657" s="11">
        <v>215559.092721519</v>
      </c>
      <c r="E657" s="18">
        <v>21132.51</v>
      </c>
      <c r="F657" s="11">
        <v>14189.2241</v>
      </c>
      <c r="G657" s="11">
        <v>183430.045438964</v>
      </c>
      <c r="H657" s="17">
        <v>19864.79</v>
      </c>
      <c r="I657" s="11">
        <v>15129.8521</v>
      </c>
      <c r="J657" s="11">
        <v>224370.915839556</v>
      </c>
      <c r="K657" s="17">
        <v>21736.6</v>
      </c>
    </row>
    <row r="658" spans="1:11">
      <c r="A658" s="1" t="s">
        <v>11</v>
      </c>
      <c r="B658" s="1">
        <v>2054</v>
      </c>
      <c r="C658" s="10">
        <v>13435.1066</v>
      </c>
      <c r="D658" s="11">
        <v>219597.6175292</v>
      </c>
      <c r="E658" s="18">
        <v>21132.51</v>
      </c>
      <c r="F658" s="11">
        <v>14220.9243</v>
      </c>
      <c r="G658" s="11">
        <v>185762.53444501</v>
      </c>
      <c r="H658" s="17">
        <v>19864.79</v>
      </c>
      <c r="I658" s="11">
        <v>15195.2813</v>
      </c>
      <c r="J658" s="11">
        <v>229487.475968479</v>
      </c>
      <c r="K658" s="17">
        <v>21736.6</v>
      </c>
    </row>
    <row r="659" spans="1:11">
      <c r="A659" s="1" t="s">
        <v>11</v>
      </c>
      <c r="B659" s="1">
        <v>2055</v>
      </c>
      <c r="C659" s="10">
        <v>13444.8149</v>
      </c>
      <c r="D659" s="11">
        <v>223534.600714024</v>
      </c>
      <c r="E659" s="18">
        <v>21132.51</v>
      </c>
      <c r="F659" s="11">
        <v>14249.3229</v>
      </c>
      <c r="G659" s="11">
        <v>187988.585496816</v>
      </c>
      <c r="H659" s="17">
        <v>19864.79</v>
      </c>
      <c r="I659" s="11">
        <v>15258.1702</v>
      </c>
      <c r="J659" s="11">
        <v>234404.398656801</v>
      </c>
      <c r="K659" s="17">
        <v>21736.6</v>
      </c>
    </row>
    <row r="660" spans="1:11">
      <c r="A660" s="1" t="s">
        <v>11</v>
      </c>
      <c r="B660" s="1">
        <v>2056</v>
      </c>
      <c r="C660" s="10">
        <v>13451.7188</v>
      </c>
      <c r="D660" s="11">
        <v>227308.448642931</v>
      </c>
      <c r="E660" s="18">
        <v>21132.51</v>
      </c>
      <c r="F660" s="11">
        <v>14274.4782</v>
      </c>
      <c r="G660" s="11">
        <v>190002.894262376</v>
      </c>
      <c r="H660" s="17">
        <v>19864.79</v>
      </c>
      <c r="I660" s="11">
        <v>15318.6025</v>
      </c>
      <c r="J660" s="11">
        <v>238956.142603211</v>
      </c>
      <c r="K660" s="17">
        <v>21736.6</v>
      </c>
    </row>
    <row r="661" spans="1:11">
      <c r="A661" s="1" t="s">
        <v>11</v>
      </c>
      <c r="B661" s="1">
        <v>2057</v>
      </c>
      <c r="C661" s="10">
        <v>13455.7773</v>
      </c>
      <c r="D661" s="11">
        <v>230911.941103601</v>
      </c>
      <c r="E661" s="18">
        <v>21132.51</v>
      </c>
      <c r="F661" s="11">
        <v>14296.515</v>
      </c>
      <c r="G661" s="11">
        <v>191811.293226169</v>
      </c>
      <c r="H661" s="17">
        <v>19864.79</v>
      </c>
      <c r="I661" s="11">
        <v>15376.5836</v>
      </c>
      <c r="J661" s="11">
        <v>243162.155567193</v>
      </c>
      <c r="K661" s="17">
        <v>21736.6</v>
      </c>
    </row>
    <row r="662" spans="1:11">
      <c r="A662" s="1" t="s">
        <v>11</v>
      </c>
      <c r="B662" s="1">
        <v>2058</v>
      </c>
      <c r="C662" s="10">
        <v>13456.937</v>
      </c>
      <c r="D662" s="11">
        <v>234351.4512389</v>
      </c>
      <c r="E662" s="18">
        <v>21132.51</v>
      </c>
      <c r="F662" s="11">
        <v>14315.5721</v>
      </c>
      <c r="G662" s="11">
        <v>193447.399076795</v>
      </c>
      <c r="H662" s="17">
        <v>19864.79</v>
      </c>
      <c r="I662" s="11">
        <v>15432.1071</v>
      </c>
      <c r="J662" s="11">
        <v>247088.132573428</v>
      </c>
      <c r="K662" s="17">
        <v>21736.6</v>
      </c>
    </row>
    <row r="663" spans="1:11">
      <c r="A663" s="1" t="s">
        <v>11</v>
      </c>
      <c r="B663" s="1">
        <v>2059</v>
      </c>
      <c r="C663" s="10">
        <v>13455.1489</v>
      </c>
      <c r="D663" s="11">
        <v>237633.352191692</v>
      </c>
      <c r="E663" s="18">
        <v>21132.51</v>
      </c>
      <c r="F663" s="11">
        <v>14331.7858</v>
      </c>
      <c r="G663" s="11">
        <v>194944.828502855</v>
      </c>
      <c r="H663" s="17">
        <v>19864.79</v>
      </c>
      <c r="I663" s="11">
        <v>15485.1774</v>
      </c>
      <c r="J663" s="11">
        <v>250799.768646598</v>
      </c>
      <c r="K663" s="17">
        <v>21736.6</v>
      </c>
    </row>
    <row r="664" spans="1:11">
      <c r="A664" s="1" t="s">
        <v>11</v>
      </c>
      <c r="B664" s="1">
        <v>2060</v>
      </c>
      <c r="C664" s="10">
        <v>13450.3686</v>
      </c>
      <c r="D664" s="11">
        <v>240764.017104844</v>
      </c>
      <c r="E664" s="18">
        <v>21132.51</v>
      </c>
      <c r="F664" s="11">
        <v>14345.2884</v>
      </c>
      <c r="G664" s="11">
        <v>196337.198192949</v>
      </c>
      <c r="H664" s="17">
        <v>19864.79</v>
      </c>
      <c r="I664" s="11">
        <v>15535.811</v>
      </c>
      <c r="J664" s="11">
        <v>254362.758811384</v>
      </c>
      <c r="K664" s="17">
        <v>21736.6</v>
      </c>
    </row>
    <row r="665" spans="1:11">
      <c r="A665" s="1" t="s">
        <v>11</v>
      </c>
      <c r="B665" s="1">
        <v>2061</v>
      </c>
      <c r="C665" s="10">
        <v>13442.5476</v>
      </c>
      <c r="D665" s="11">
        <v>243755.56498228</v>
      </c>
      <c r="E665" s="18">
        <v>21132.51</v>
      </c>
      <c r="F665" s="11">
        <v>14356.2298</v>
      </c>
      <c r="G665" s="11">
        <v>197671.559239131</v>
      </c>
      <c r="H665" s="17">
        <v>19864.79</v>
      </c>
      <c r="I665" s="11">
        <v>15584.0044</v>
      </c>
      <c r="J665" s="11">
        <v>257864.709220355</v>
      </c>
      <c r="K665" s="17">
        <v>21736.6</v>
      </c>
    </row>
    <row r="666" spans="1:11">
      <c r="A666" s="1" t="s">
        <v>11</v>
      </c>
      <c r="B666" s="1">
        <v>2062</v>
      </c>
      <c r="C666" s="10">
        <v>13431.6013</v>
      </c>
      <c r="D666" s="11">
        <v>246643.09827216</v>
      </c>
      <c r="E666" s="18">
        <v>21132.51</v>
      </c>
      <c r="F666" s="11">
        <v>14364.8432</v>
      </c>
      <c r="G666" s="11">
        <v>199048.700347267</v>
      </c>
      <c r="H666" s="17">
        <v>19864.79</v>
      </c>
      <c r="I666" s="11">
        <v>15629.6278</v>
      </c>
      <c r="J666" s="11">
        <v>261480.87053763</v>
      </c>
      <c r="K666" s="17">
        <v>21736.6</v>
      </c>
    </row>
    <row r="667" spans="1:11">
      <c r="A667" s="1" t="s">
        <v>11</v>
      </c>
      <c r="B667" s="1">
        <v>2063</v>
      </c>
      <c r="C667" s="10">
        <v>13417.421</v>
      </c>
      <c r="D667" s="11">
        <v>249467.465283703</v>
      </c>
      <c r="E667" s="18">
        <v>21132.51</v>
      </c>
      <c r="F667" s="11">
        <v>14371.3736</v>
      </c>
      <c r="G667" s="11">
        <v>200582.844626673</v>
      </c>
      <c r="H667" s="17">
        <v>19864.79</v>
      </c>
      <c r="I667" s="11">
        <v>15672.4959</v>
      </c>
      <c r="J667" s="11">
        <v>265408.404555213</v>
      </c>
      <c r="K667" s="17">
        <v>21736.6</v>
      </c>
    </row>
    <row r="668" spans="1:11">
      <c r="A668" s="1" t="s">
        <v>11</v>
      </c>
      <c r="B668" s="1">
        <v>2064</v>
      </c>
      <c r="C668" s="10">
        <v>13399.8787</v>
      </c>
      <c r="D668" s="11">
        <v>252269.514326131</v>
      </c>
      <c r="E668" s="18">
        <v>21132.51</v>
      </c>
      <c r="F668" s="11">
        <v>14376.0551</v>
      </c>
      <c r="G668" s="11">
        <v>202388.21518667</v>
      </c>
      <c r="H668" s="17">
        <v>19864.79</v>
      </c>
      <c r="I668" s="11">
        <v>15712.3934</v>
      </c>
      <c r="J668" s="11">
        <v>269844.47306511</v>
      </c>
      <c r="K668" s="17">
        <v>21736.6</v>
      </c>
    </row>
    <row r="669" spans="1:11">
      <c r="A669" s="1" t="s">
        <v>11</v>
      </c>
      <c r="B669" s="1">
        <v>2065</v>
      </c>
      <c r="C669" s="10">
        <v>13378.8266</v>
      </c>
      <c r="D669" s="11">
        <v>255090.093708661</v>
      </c>
      <c r="E669" s="18">
        <v>21132.51</v>
      </c>
      <c r="F669" s="11">
        <v>14379.1118</v>
      </c>
      <c r="G669" s="11">
        <v>204579.035136573</v>
      </c>
      <c r="H669" s="17">
        <v>19864.79</v>
      </c>
      <c r="I669" s="11">
        <v>15749.0729</v>
      </c>
      <c r="J669" s="11">
        <v>274986.237859326</v>
      </c>
      <c r="K669" s="17">
        <v>21736.6</v>
      </c>
    </row>
    <row r="670" spans="1:11">
      <c r="A670" s="1" t="s">
        <v>11</v>
      </c>
      <c r="B670" s="1">
        <v>2066</v>
      </c>
      <c r="C670" s="10">
        <v>13354.2855</v>
      </c>
      <c r="D670" s="11">
        <v>257942.852380402</v>
      </c>
      <c r="E670" s="18">
        <v>21132.51</v>
      </c>
      <c r="F670" s="11">
        <v>14380.7505</v>
      </c>
      <c r="G670" s="11">
        <v>207228.478378115</v>
      </c>
      <c r="H670" s="17">
        <v>19864.79</v>
      </c>
      <c r="I670" s="11">
        <v>15782.4556</v>
      </c>
      <c r="J670" s="11">
        <v>280942.022206814</v>
      </c>
      <c r="K670" s="17">
        <v>21736.6</v>
      </c>
    </row>
    <row r="671" spans="1:11">
      <c r="A671" s="1" t="s">
        <v>11</v>
      </c>
      <c r="B671" s="1">
        <v>2067</v>
      </c>
      <c r="C671" s="10">
        <v>13327.0188</v>
      </c>
      <c r="D671" s="11">
        <v>260732.641850015</v>
      </c>
      <c r="E671" s="18">
        <v>21132.51</v>
      </c>
      <c r="F671" s="11">
        <v>14381.1408</v>
      </c>
      <c r="G671" s="11">
        <v>210245.521982668</v>
      </c>
      <c r="H671" s="17">
        <v>19864.79</v>
      </c>
      <c r="I671" s="11">
        <v>15813.2405</v>
      </c>
      <c r="J671" s="11">
        <v>287464.795284315</v>
      </c>
      <c r="K671" s="17">
        <v>21736.6</v>
      </c>
    </row>
    <row r="672" spans="1:11">
      <c r="A672" s="1" t="s">
        <v>11</v>
      </c>
      <c r="B672" s="1">
        <v>2068</v>
      </c>
      <c r="C672" s="10">
        <v>13297.9709</v>
      </c>
      <c r="D672" s="11">
        <v>263337.114266052</v>
      </c>
      <c r="E672" s="18">
        <v>21132.51</v>
      </c>
      <c r="F672" s="11">
        <v>14380.4404</v>
      </c>
      <c r="G672" s="11">
        <v>213498.093814019</v>
      </c>
      <c r="H672" s="17">
        <v>19864.79</v>
      </c>
      <c r="I672" s="11">
        <v>15842.3021</v>
      </c>
      <c r="J672" s="11">
        <v>294218.687745518</v>
      </c>
      <c r="K672" s="17">
        <v>21736.6</v>
      </c>
    </row>
    <row r="673" spans="1:11">
      <c r="A673" s="1" t="s">
        <v>11</v>
      </c>
      <c r="B673" s="1">
        <v>2069</v>
      </c>
      <c r="C673" s="10">
        <v>13268.0784</v>
      </c>
      <c r="D673" s="11">
        <v>265633.921777063</v>
      </c>
      <c r="E673" s="18">
        <v>21132.51</v>
      </c>
      <c r="F673" s="11">
        <v>14378.803</v>
      </c>
      <c r="G673" s="11">
        <v>216854.121735955</v>
      </c>
      <c r="H673" s="17">
        <v>19864.79</v>
      </c>
      <c r="I673" s="11">
        <v>15870.4879</v>
      </c>
      <c r="J673" s="11">
        <v>300867.830244112</v>
      </c>
      <c r="K673" s="17">
        <v>21736.6</v>
      </c>
    </row>
    <row r="674" spans="1:11">
      <c r="A674" s="1" t="s">
        <v>11</v>
      </c>
      <c r="B674" s="1">
        <v>2070</v>
      </c>
      <c r="C674" s="10">
        <v>13238.2708</v>
      </c>
      <c r="D674" s="11">
        <v>267500.716531597</v>
      </c>
      <c r="E674" s="18">
        <v>21132.51</v>
      </c>
      <c r="F674" s="11">
        <v>14376.3796</v>
      </c>
      <c r="G674" s="11">
        <v>220181.533612261</v>
      </c>
      <c r="H674" s="17">
        <v>19864.79</v>
      </c>
      <c r="I674" s="11">
        <v>15898.6173</v>
      </c>
      <c r="J674" s="11">
        <v>307076.353433786</v>
      </c>
      <c r="K674" s="17">
        <v>21736.6</v>
      </c>
    </row>
    <row r="675" spans="1:11">
      <c r="A675" s="1" t="s">
        <v>11</v>
      </c>
      <c r="B675" s="1">
        <v>2071</v>
      </c>
      <c r="C675" s="10">
        <v>13209.1602</v>
      </c>
      <c r="D675" s="11">
        <v>268862.395482105</v>
      </c>
      <c r="E675" s="18">
        <v>21132.51</v>
      </c>
      <c r="F675" s="11">
        <v>14373.2531</v>
      </c>
      <c r="G675" s="11">
        <v>223385.54176719</v>
      </c>
      <c r="H675" s="17">
        <v>19864.79</v>
      </c>
      <c r="I675" s="11">
        <v>15927.1965</v>
      </c>
      <c r="J675" s="11">
        <v>312613.656554185</v>
      </c>
      <c r="K675" s="17">
        <v>21736.6</v>
      </c>
    </row>
    <row r="676" spans="1:11">
      <c r="A676" s="1" t="s">
        <v>11</v>
      </c>
      <c r="B676" s="1">
        <v>2072</v>
      </c>
      <c r="C676" s="10">
        <v>13180.1151</v>
      </c>
      <c r="D676" s="11">
        <v>269832.834796635</v>
      </c>
      <c r="E676" s="18">
        <v>21132.51</v>
      </c>
      <c r="F676" s="11">
        <v>14369.2429</v>
      </c>
      <c r="G676" s="11">
        <v>226520.49636686</v>
      </c>
      <c r="H676" s="17">
        <v>19864.79</v>
      </c>
      <c r="I676" s="11">
        <v>15955.5768</v>
      </c>
      <c r="J676" s="11">
        <v>317670.213188789</v>
      </c>
      <c r="K676" s="17">
        <v>21736.6</v>
      </c>
    </row>
    <row r="677" spans="1:11">
      <c r="A677" s="1" t="s">
        <v>11</v>
      </c>
      <c r="B677" s="1">
        <v>2073</v>
      </c>
      <c r="C677" s="10">
        <v>13150.1926</v>
      </c>
      <c r="D677" s="11">
        <v>270573.155447135</v>
      </c>
      <c r="E677" s="18">
        <v>21132.51</v>
      </c>
      <c r="F677" s="11">
        <v>14364.1041</v>
      </c>
      <c r="G677" s="11">
        <v>229678.032037855</v>
      </c>
      <c r="H677" s="17">
        <v>19864.79</v>
      </c>
      <c r="I677" s="11">
        <v>15982.8288</v>
      </c>
      <c r="J677" s="11">
        <v>322541.765507032</v>
      </c>
      <c r="K677" s="17">
        <v>21736.6</v>
      </c>
    </row>
    <row r="678" spans="1:11">
      <c r="A678" s="1" t="s">
        <v>11</v>
      </c>
      <c r="B678" s="1">
        <v>2074</v>
      </c>
      <c r="C678" s="10">
        <v>13118.4489</v>
      </c>
      <c r="D678" s="11">
        <v>271244.478405553</v>
      </c>
      <c r="E678" s="18">
        <v>21132.51</v>
      </c>
      <c r="F678" s="11">
        <v>14357.5932</v>
      </c>
      <c r="G678" s="11">
        <v>232949.78340676</v>
      </c>
      <c r="H678" s="17">
        <v>19864.79</v>
      </c>
      <c r="I678" s="11">
        <v>16008.0307</v>
      </c>
      <c r="J678" s="11">
        <v>327524.05567835</v>
      </c>
      <c r="K678" s="17">
        <v>21736.6</v>
      </c>
    </row>
    <row r="679" spans="1:11">
      <c r="A679" s="1" t="s">
        <v>11</v>
      </c>
      <c r="B679" s="1">
        <v>2075</v>
      </c>
      <c r="C679" s="10">
        <v>13083.9398</v>
      </c>
      <c r="D679" s="11">
        <v>272007.924643836</v>
      </c>
      <c r="E679" s="18">
        <v>21132.51</v>
      </c>
      <c r="F679" s="11">
        <v>14349.4679</v>
      </c>
      <c r="G679" s="11">
        <v>236427.385100158</v>
      </c>
      <c r="H679" s="17">
        <v>19864.79</v>
      </c>
      <c r="I679" s="11">
        <v>16030.2691</v>
      </c>
      <c r="J679" s="11">
        <v>332912.82587218</v>
      </c>
      <c r="K679" s="17">
        <v>21736.6</v>
      </c>
    </row>
    <row r="680" spans="1:11">
      <c r="A680" s="1" t="s">
        <v>11</v>
      </c>
      <c r="B680" s="1">
        <v>2076</v>
      </c>
      <c r="C680" s="10">
        <v>13045.5112</v>
      </c>
      <c r="D680" s="11">
        <v>272964.997092837</v>
      </c>
      <c r="E680" s="18">
        <v>21132.51</v>
      </c>
      <c r="F680" s="11">
        <v>14339.4273</v>
      </c>
      <c r="G680" s="11">
        <v>240150.605854306</v>
      </c>
      <c r="H680" s="17">
        <v>19864.79</v>
      </c>
      <c r="I680" s="11">
        <v>16048.3853</v>
      </c>
      <c r="J680" s="11">
        <v>338884.608087062</v>
      </c>
      <c r="K680" s="17">
        <v>21736.6</v>
      </c>
    </row>
    <row r="681" spans="1:11">
      <c r="A681" s="1" t="s">
        <v>11</v>
      </c>
      <c r="B681" s="1">
        <v>2077</v>
      </c>
      <c r="C681" s="10">
        <v>13001.1751</v>
      </c>
      <c r="D681" s="11">
        <v>273978.726519017</v>
      </c>
      <c r="E681" s="18">
        <v>21132.51</v>
      </c>
      <c r="F681" s="11">
        <v>14326.9312</v>
      </c>
      <c r="G681" s="11">
        <v>243951.750844147</v>
      </c>
      <c r="H681" s="17">
        <v>19864.79</v>
      </c>
      <c r="I681" s="11">
        <v>16060.2272</v>
      </c>
      <c r="J681" s="11">
        <v>345139.093637953</v>
      </c>
      <c r="K681" s="17">
        <v>21736.6</v>
      </c>
    </row>
    <row r="682" spans="1:11">
      <c r="A682" s="1" t="s">
        <v>11</v>
      </c>
      <c r="B682" s="1">
        <v>2078</v>
      </c>
      <c r="C682" s="10">
        <v>12948.75</v>
      </c>
      <c r="D682" s="11">
        <v>274852.525647745</v>
      </c>
      <c r="E682" s="18">
        <v>21132.51</v>
      </c>
      <c r="F682" s="11">
        <v>14311.3823</v>
      </c>
      <c r="G682" s="11">
        <v>247611.259354292</v>
      </c>
      <c r="H682" s="17">
        <v>19864.79</v>
      </c>
      <c r="I682" s="11">
        <v>16063.4391</v>
      </c>
      <c r="J682" s="11">
        <v>351256.76366892</v>
      </c>
      <c r="K682" s="17">
        <v>21736.6</v>
      </c>
    </row>
    <row r="683" spans="1:11">
      <c r="A683" s="1" t="s">
        <v>11</v>
      </c>
      <c r="B683" s="1">
        <v>2079</v>
      </c>
      <c r="C683" s="10">
        <v>12886.0696</v>
      </c>
      <c r="D683" s="11">
        <v>275389.807204386</v>
      </c>
      <c r="E683" s="18">
        <v>21132.51</v>
      </c>
      <c r="F683" s="11">
        <v>14292.1846</v>
      </c>
      <c r="G683" s="11">
        <v>250909.570669358</v>
      </c>
      <c r="H683" s="17">
        <v>19864.79</v>
      </c>
      <c r="I683" s="11">
        <v>16055.7202</v>
      </c>
      <c r="J683" s="11">
        <v>356818.099324023</v>
      </c>
      <c r="K683" s="17">
        <v>21736.6</v>
      </c>
    </row>
    <row r="684" spans="1:11">
      <c r="A684" s="1" t="s">
        <v>11</v>
      </c>
      <c r="B684" s="1">
        <v>2080</v>
      </c>
      <c r="C684" s="10">
        <v>12810.9799</v>
      </c>
      <c r="D684" s="11">
        <v>275393.983914307</v>
      </c>
      <c r="E684" s="18">
        <v>21132.51</v>
      </c>
      <c r="F684" s="11">
        <v>14268.7414</v>
      </c>
      <c r="G684" s="11">
        <v>253627.124073957</v>
      </c>
      <c r="H684" s="17">
        <v>19864.79</v>
      </c>
      <c r="I684" s="11">
        <v>16034.8267</v>
      </c>
      <c r="J684" s="11">
        <v>361403.581747329</v>
      </c>
      <c r="K684" s="17">
        <v>21736.6</v>
      </c>
    </row>
    <row r="685" spans="1:11">
      <c r="A685" s="1" t="s">
        <v>11</v>
      </c>
      <c r="B685" s="1">
        <v>2081</v>
      </c>
      <c r="C685" s="10">
        <v>12722.3228</v>
      </c>
      <c r="D685" s="11">
        <v>274736.994971782</v>
      </c>
      <c r="E685" s="18">
        <v>21132.51</v>
      </c>
      <c r="F685" s="11">
        <v>14240.7929</v>
      </c>
      <c r="G685" s="11">
        <v>255634.140386671</v>
      </c>
      <c r="H685" s="17">
        <v>19864.79</v>
      </c>
      <c r="I685" s="11">
        <v>15999.6374</v>
      </c>
      <c r="J685" s="11">
        <v>364757.558840541</v>
      </c>
      <c r="K685" s="17">
        <v>21736.6</v>
      </c>
    </row>
    <row r="686" spans="1:11">
      <c r="A686" s="1" t="s">
        <v>11</v>
      </c>
      <c r="B686" s="1">
        <v>2082</v>
      </c>
      <c r="C686" s="10">
        <v>12622.8949</v>
      </c>
      <c r="D686" s="11">
        <v>273564.885446714</v>
      </c>
      <c r="E686" s="18">
        <v>21132.51</v>
      </c>
      <c r="F686" s="11">
        <v>14209.4362</v>
      </c>
      <c r="G686" s="11">
        <v>257159.966561955</v>
      </c>
      <c r="H686" s="17">
        <v>19864.79</v>
      </c>
      <c r="I686" s="11">
        <v>15953.3159</v>
      </c>
      <c r="J686" s="11">
        <v>367279.845535934</v>
      </c>
      <c r="K686" s="17">
        <v>21736.6</v>
      </c>
    </row>
    <row r="687" spans="1:11">
      <c r="A687" s="1" t="s">
        <v>11</v>
      </c>
      <c r="B687" s="1">
        <v>2083</v>
      </c>
      <c r="C687" s="10">
        <v>12516.4828</v>
      </c>
      <c r="D687" s="11">
        <v>272092.226877913</v>
      </c>
      <c r="E687" s="18">
        <v>21132.51</v>
      </c>
      <c r="F687" s="11">
        <v>14176.1126</v>
      </c>
      <c r="G687" s="11">
        <v>258523.73108823</v>
      </c>
      <c r="H687" s="17">
        <v>19864.79</v>
      </c>
      <c r="I687" s="11">
        <v>15900.065</v>
      </c>
      <c r="J687" s="11">
        <v>369534.123523423</v>
      </c>
      <c r="K687" s="17">
        <v>21736.6</v>
      </c>
    </row>
    <row r="688" spans="1:11">
      <c r="A688" s="1" t="s">
        <v>11</v>
      </c>
      <c r="B688" s="1">
        <v>2084</v>
      </c>
      <c r="C688" s="10">
        <v>12406.8801</v>
      </c>
      <c r="D688" s="11">
        <v>270533.590804189</v>
      </c>
      <c r="E688" s="18">
        <v>21132.51</v>
      </c>
      <c r="F688" s="11">
        <v>14142.2725</v>
      </c>
      <c r="G688" s="11">
        <v>260044.562453919</v>
      </c>
      <c r="H688" s="17">
        <v>19864.79</v>
      </c>
      <c r="I688" s="11">
        <v>15844.055</v>
      </c>
      <c r="J688" s="11">
        <v>372084.074492925</v>
      </c>
      <c r="K688" s="17">
        <v>21736.6</v>
      </c>
    </row>
    <row r="689" spans="1:11">
      <c r="A689" s="1" t="s">
        <v>11</v>
      </c>
      <c r="B689" s="1">
        <v>2085</v>
      </c>
      <c r="C689" s="10">
        <v>12297.8915</v>
      </c>
      <c r="D689" s="11">
        <v>269103.548764353</v>
      </c>
      <c r="E689" s="18">
        <v>21132.51</v>
      </c>
      <c r="F689" s="11">
        <v>14109.3766</v>
      </c>
      <c r="G689" s="11">
        <v>262041.589147444</v>
      </c>
      <c r="H689" s="17">
        <v>19864.79</v>
      </c>
      <c r="I689" s="11">
        <v>15789.42</v>
      </c>
      <c r="J689" s="11">
        <v>375493.380134354</v>
      </c>
      <c r="K689" s="17">
        <v>21736.6</v>
      </c>
    </row>
    <row r="690" spans="1:11">
      <c r="A690" s="1" t="s">
        <v>11</v>
      </c>
      <c r="B690" s="1">
        <v>2086</v>
      </c>
      <c r="C690" s="10">
        <v>12192.8404</v>
      </c>
      <c r="D690" s="11">
        <v>267973.297646519</v>
      </c>
      <c r="E690" s="18">
        <v>21132.51</v>
      </c>
      <c r="F690" s="11">
        <v>14078.7777</v>
      </c>
      <c r="G690" s="11">
        <v>264748.230278766</v>
      </c>
      <c r="H690" s="17">
        <v>19864.79</v>
      </c>
      <c r="I690" s="11">
        <v>15739.6252</v>
      </c>
      <c r="J690" s="11">
        <v>380163.233371151</v>
      </c>
      <c r="K690" s="17">
        <v>21736.6</v>
      </c>
    </row>
    <row r="691" spans="1:11">
      <c r="A691" s="1" t="s">
        <v>11</v>
      </c>
      <c r="B691" s="1">
        <v>2087</v>
      </c>
      <c r="C691" s="10">
        <v>12093.0813</v>
      </c>
      <c r="D691" s="11">
        <v>267140.535736018</v>
      </c>
      <c r="E691" s="18">
        <v>21132.51</v>
      </c>
      <c r="F691" s="11">
        <v>14051.3559</v>
      </c>
      <c r="G691" s="11">
        <v>268055.067444002</v>
      </c>
      <c r="H691" s="17">
        <v>19864.79</v>
      </c>
      <c r="I691" s="11">
        <v>15695.5834</v>
      </c>
      <c r="J691" s="11">
        <v>385844.872060845</v>
      </c>
      <c r="K691" s="17">
        <v>21736.6</v>
      </c>
    </row>
    <row r="692" spans="1:11">
      <c r="A692" s="1" t="s">
        <v>11</v>
      </c>
      <c r="B692" s="1">
        <v>2088</v>
      </c>
      <c r="C692" s="10">
        <v>11999.4671</v>
      </c>
      <c r="D692" s="11">
        <v>266559.586667486</v>
      </c>
      <c r="E692" s="18">
        <v>21132.51</v>
      </c>
      <c r="F692" s="11">
        <v>14027.8798</v>
      </c>
      <c r="G692" s="11">
        <v>271766.97286081</v>
      </c>
      <c r="H692" s="17">
        <v>19864.79</v>
      </c>
      <c r="I692" s="11">
        <v>15657.5299</v>
      </c>
      <c r="J692" s="11">
        <v>392127.04529449</v>
      </c>
      <c r="K692" s="17">
        <v>21736.6</v>
      </c>
    </row>
    <row r="693" spans="1:11">
      <c r="A693" s="1" t="s">
        <v>11</v>
      </c>
      <c r="B693" s="1">
        <v>2089</v>
      </c>
      <c r="C693" s="10">
        <v>11912.8389</v>
      </c>
      <c r="D693" s="11">
        <v>266184.774075557</v>
      </c>
      <c r="E693" s="18">
        <v>21132.51</v>
      </c>
      <c r="F693" s="11">
        <v>14009.1261</v>
      </c>
      <c r="G693" s="11">
        <v>275688.818746845</v>
      </c>
      <c r="H693" s="17">
        <v>19864.79</v>
      </c>
      <c r="I693" s="11">
        <v>15625.6447</v>
      </c>
      <c r="J693" s="11">
        <v>398598.502163139</v>
      </c>
      <c r="K693" s="17">
        <v>21736.6</v>
      </c>
    </row>
    <row r="694" spans="1:11">
      <c r="A694" s="1" t="s">
        <v>11</v>
      </c>
      <c r="B694" s="1">
        <v>2090</v>
      </c>
      <c r="C694" s="10">
        <v>11834.0238</v>
      </c>
      <c r="D694" s="11">
        <v>265970.421594869</v>
      </c>
      <c r="E694" s="18">
        <v>21132.51</v>
      </c>
      <c r="F694" s="11">
        <v>13995.8785</v>
      </c>
      <c r="G694" s="11">
        <v>279625.477319763</v>
      </c>
      <c r="H694" s="17">
        <v>19864.79</v>
      </c>
      <c r="I694" s="11">
        <v>15600.0489</v>
      </c>
      <c r="J694" s="11">
        <v>404847.991757845</v>
      </c>
      <c r="K694" s="17">
        <v>21736.6</v>
      </c>
    </row>
    <row r="695" spans="1:11">
      <c r="A695" s="1" t="s">
        <v>11</v>
      </c>
      <c r="B695" s="1">
        <v>2091</v>
      </c>
      <c r="C695" s="10">
        <v>11763.4612</v>
      </c>
      <c r="D695" s="11">
        <v>265866.929859461</v>
      </c>
      <c r="E695" s="18">
        <v>21132.51</v>
      </c>
      <c r="F695" s="11">
        <v>13988.6167</v>
      </c>
      <c r="G695" s="11">
        <v>283417.494826559</v>
      </c>
      <c r="H695" s="17">
        <v>19864.79</v>
      </c>
      <c r="I695" s="11">
        <v>15580.6012</v>
      </c>
      <c r="J695" s="11">
        <v>410551.075494788</v>
      </c>
      <c r="K695" s="17">
        <v>21736.6</v>
      </c>
    </row>
    <row r="696" spans="1:11">
      <c r="A696" s="1" t="s">
        <v>11</v>
      </c>
      <c r="B696" s="1">
        <v>2092</v>
      </c>
      <c r="C696" s="10">
        <v>11700.0831</v>
      </c>
      <c r="D696" s="11">
        <v>265809.007501002</v>
      </c>
      <c r="E696" s="18">
        <v>21132.51</v>
      </c>
      <c r="F696" s="11">
        <v>13986.5769</v>
      </c>
      <c r="G696" s="11">
        <v>287048.113631574</v>
      </c>
      <c r="H696" s="17">
        <v>19864.79</v>
      </c>
      <c r="I696" s="11">
        <v>15566.3087</v>
      </c>
      <c r="J696" s="11">
        <v>415730.564090649</v>
      </c>
      <c r="K696" s="17">
        <v>21736.6</v>
      </c>
    </row>
    <row r="697" spans="1:11">
      <c r="A697" s="1" t="s">
        <v>11</v>
      </c>
      <c r="B697" s="1">
        <v>2093</v>
      </c>
      <c r="C697" s="10">
        <v>11642.4289</v>
      </c>
      <c r="D697" s="11">
        <v>265727.440150564</v>
      </c>
      <c r="E697" s="18">
        <v>21132.51</v>
      </c>
      <c r="F697" s="11">
        <v>13988.671</v>
      </c>
      <c r="G697" s="11">
        <v>290536.250128488</v>
      </c>
      <c r="H697" s="17">
        <v>19864.79</v>
      </c>
      <c r="I697" s="11">
        <v>15555.9657</v>
      </c>
      <c r="J697" s="11">
        <v>420496.080587233</v>
      </c>
      <c r="K697" s="17">
        <v>21736.6</v>
      </c>
    </row>
    <row r="698" spans="1:11">
      <c r="A698" s="1" t="s">
        <v>11</v>
      </c>
      <c r="B698" s="1">
        <v>2094</v>
      </c>
      <c r="C698" s="10">
        <v>11589.019</v>
      </c>
      <c r="D698" s="11">
        <v>265553.013439221</v>
      </c>
      <c r="E698" s="18">
        <v>21132.51</v>
      </c>
      <c r="F698" s="11">
        <v>13993.7969</v>
      </c>
      <c r="G698" s="11">
        <v>293900.820710979</v>
      </c>
      <c r="H698" s="17">
        <v>19864.79</v>
      </c>
      <c r="I698" s="11">
        <v>15548.3625</v>
      </c>
      <c r="J698" s="11">
        <v>424957.248026348</v>
      </c>
      <c r="K698" s="17">
        <v>21736.6</v>
      </c>
    </row>
    <row r="699" spans="1:11">
      <c r="A699" s="1" t="s">
        <v>11</v>
      </c>
      <c r="B699" s="1">
        <v>2095</v>
      </c>
      <c r="C699" s="10">
        <v>11538.3581</v>
      </c>
      <c r="D699" s="11">
        <v>265216.512998046</v>
      </c>
      <c r="E699" s="18">
        <v>21132.51</v>
      </c>
      <c r="F699" s="11">
        <v>14000.8395</v>
      </c>
      <c r="G699" s="11">
        <v>297160.741772727</v>
      </c>
      <c r="H699" s="17">
        <v>19864.79</v>
      </c>
      <c r="I699" s="11">
        <v>15542.2889</v>
      </c>
      <c r="J699" s="11">
        <v>429223.6894498</v>
      </c>
      <c r="K699" s="17">
        <v>21736.6</v>
      </c>
    </row>
    <row r="700" spans="1:11">
      <c r="A700" s="1" t="s">
        <v>11</v>
      </c>
      <c r="B700" s="1">
        <v>2096</v>
      </c>
      <c r="C700" s="10">
        <v>11488.9383</v>
      </c>
      <c r="D700" s="11">
        <v>264648.724458112</v>
      </c>
      <c r="E700" s="18">
        <v>21132.51</v>
      </c>
      <c r="F700" s="11">
        <v>14008.6728</v>
      </c>
      <c r="G700" s="11">
        <v>300334.929707411</v>
      </c>
      <c r="H700" s="17">
        <v>19864.79</v>
      </c>
      <c r="I700" s="11">
        <v>15536.5364</v>
      </c>
      <c r="J700" s="11">
        <v>433405.027899394</v>
      </c>
      <c r="K700" s="17">
        <v>21736.6</v>
      </c>
    </row>
    <row r="701" spans="1:11">
      <c r="A701" s="1" t="s">
        <v>11</v>
      </c>
      <c r="B701" s="1">
        <v>2097</v>
      </c>
      <c r="C701" s="10">
        <v>11439.2419</v>
      </c>
      <c r="D701" s="11">
        <v>263780.433450493</v>
      </c>
      <c r="E701" s="18">
        <v>21132.51</v>
      </c>
      <c r="F701" s="11">
        <v>14016.1603</v>
      </c>
      <c r="G701" s="11">
        <v>303442.300908711</v>
      </c>
      <c r="H701" s="17">
        <v>19864.79</v>
      </c>
      <c r="I701" s="11">
        <v>15529.9011</v>
      </c>
      <c r="J701" s="11">
        <v>437610.886416938</v>
      </c>
      <c r="K701" s="17">
        <v>21736.6</v>
      </c>
    </row>
    <row r="702" spans="1:11">
      <c r="A702" s="1" t="s">
        <v>11</v>
      </c>
      <c r="B702" s="1">
        <v>2098</v>
      </c>
      <c r="C702" s="10">
        <v>11387.7453</v>
      </c>
      <c r="D702" s="11">
        <v>262542.425606262</v>
      </c>
      <c r="E702" s="18">
        <v>21132.51</v>
      </c>
      <c r="F702" s="11">
        <v>14022.1572</v>
      </c>
      <c r="G702" s="11">
        <v>306501.771770305</v>
      </c>
      <c r="H702" s="17">
        <v>19864.79</v>
      </c>
      <c r="I702" s="11">
        <v>15521.1858</v>
      </c>
      <c r="J702" s="11">
        <v>441950.888044238</v>
      </c>
      <c r="K702" s="17">
        <v>21736.6</v>
      </c>
    </row>
    <row r="703" spans="1:11">
      <c r="A703" s="1" t="s">
        <v>11</v>
      </c>
      <c r="B703" s="1">
        <v>2099</v>
      </c>
      <c r="C703" s="10">
        <v>11332.9213</v>
      </c>
      <c r="D703" s="11">
        <v>260865.486556491</v>
      </c>
      <c r="E703" s="18">
        <v>21132.51</v>
      </c>
      <c r="F703" s="11">
        <v>14025.5108</v>
      </c>
      <c r="G703" s="11">
        <v>309532.258685873</v>
      </c>
      <c r="H703" s="17">
        <v>19864.79</v>
      </c>
      <c r="I703" s="11">
        <v>15509.2021</v>
      </c>
      <c r="J703" s="11">
        <v>446534.6558231</v>
      </c>
      <c r="K703" s="17">
        <v>21736.6</v>
      </c>
    </row>
    <row r="704" spans="1:11">
      <c r="A704" s="1" t="s">
        <v>11</v>
      </c>
      <c r="B704" s="1">
        <v>2100</v>
      </c>
      <c r="C704" s="10">
        <v>11273.2422</v>
      </c>
      <c r="D704" s="11">
        <v>258680.401932255</v>
      </c>
      <c r="E704" s="18">
        <v>21132.51</v>
      </c>
      <c r="F704" s="11">
        <v>14025.0618</v>
      </c>
      <c r="G704" s="11">
        <v>312552.678049093</v>
      </c>
      <c r="H704" s="17">
        <v>19864.79</v>
      </c>
      <c r="I704" s="11">
        <v>15492.7729</v>
      </c>
      <c r="J704" s="11">
        <v>451471.81279533</v>
      </c>
      <c r="K704" s="17">
        <v>21736.6</v>
      </c>
    </row>
    <row r="705" spans="1:11">
      <c r="A705" s="1" t="s">
        <v>12</v>
      </c>
      <c r="B705" s="1">
        <v>2023</v>
      </c>
      <c r="C705" s="10">
        <v>4940.7844</v>
      </c>
      <c r="D705" s="11">
        <v>18433.7970725582</v>
      </c>
      <c r="E705" s="16">
        <v>3423.07</v>
      </c>
      <c r="F705" s="11">
        <v>5041.4499</v>
      </c>
      <c r="G705" s="11">
        <v>17680.8065289317</v>
      </c>
      <c r="H705" s="17">
        <v>3325.61</v>
      </c>
      <c r="I705" s="11">
        <v>4910.4817</v>
      </c>
      <c r="J705" s="11">
        <v>18880.8639959098</v>
      </c>
      <c r="K705" s="17">
        <v>3428.12</v>
      </c>
    </row>
    <row r="706" spans="1:11">
      <c r="A706" s="1" t="s">
        <v>12</v>
      </c>
      <c r="B706" s="1">
        <v>2024</v>
      </c>
      <c r="C706" s="10">
        <v>4958.5178</v>
      </c>
      <c r="D706" s="11">
        <v>18874.1681255494</v>
      </c>
      <c r="E706" s="3">
        <f>(E705+E707)/2</f>
        <v>3569.265</v>
      </c>
      <c r="F706" s="11">
        <v>5070.9346</v>
      </c>
      <c r="G706" s="11">
        <v>18278.0763882091</v>
      </c>
      <c r="H706" s="4">
        <f>(H705+H707)/2</f>
        <v>3439.66</v>
      </c>
      <c r="I706" s="11">
        <v>4921.4565</v>
      </c>
      <c r="J706" s="11">
        <v>19238.5869888302</v>
      </c>
      <c r="K706" s="4">
        <f>(K705+K707)/2</f>
        <v>3581.345</v>
      </c>
    </row>
    <row r="707" spans="1:11">
      <c r="A707" s="1" t="s">
        <v>12</v>
      </c>
      <c r="B707" s="1">
        <v>2025</v>
      </c>
      <c r="C707" s="10">
        <v>4975.3183</v>
      </c>
      <c r="D707" s="11">
        <v>19281.9612978048</v>
      </c>
      <c r="E707" s="16">
        <v>3715.46</v>
      </c>
      <c r="F707" s="11">
        <v>5099.239</v>
      </c>
      <c r="G707" s="11">
        <v>18820.5493470226</v>
      </c>
      <c r="H707" s="17">
        <v>3553.71</v>
      </c>
      <c r="I707" s="11">
        <v>4930.5631</v>
      </c>
      <c r="J707" s="11">
        <v>19571.5035541275</v>
      </c>
      <c r="K707" s="17">
        <v>3734.57</v>
      </c>
    </row>
    <row r="708" spans="1:11">
      <c r="A708" s="1" t="s">
        <v>12</v>
      </c>
      <c r="B708" s="1">
        <v>2026</v>
      </c>
      <c r="C708" s="10">
        <v>4991.4607</v>
      </c>
      <c r="D708" s="11">
        <v>19634.5880704806</v>
      </c>
      <c r="E708" s="3">
        <f t="shared" ref="E708:E711" si="133">E707*(1+$L$707)</f>
        <v>3715.46</v>
      </c>
      <c r="F708" s="11">
        <v>5126.7151</v>
      </c>
      <c r="G708" s="11">
        <v>19263.3999858224</v>
      </c>
      <c r="H708" s="4">
        <f t="shared" ref="H708:H711" si="134">H707*(1+M$707)</f>
        <v>3553.71</v>
      </c>
      <c r="I708" s="11">
        <v>4938.0272</v>
      </c>
      <c r="J708" s="11">
        <v>19869.1314765192</v>
      </c>
      <c r="K708" s="4">
        <f t="shared" ref="K708:K711" si="135">K707*(1+N$707)</f>
        <v>3734.57</v>
      </c>
    </row>
    <row r="709" spans="1:11">
      <c r="A709" s="1" t="s">
        <v>12</v>
      </c>
      <c r="B709" s="1">
        <v>2027</v>
      </c>
      <c r="C709" s="10">
        <v>5007.1471</v>
      </c>
      <c r="D709" s="11">
        <v>19941.2135220902</v>
      </c>
      <c r="E709" s="3">
        <f t="shared" si="133"/>
        <v>3715.46</v>
      </c>
      <c r="F709" s="11">
        <v>5153.6373</v>
      </c>
      <c r="G709" s="11">
        <v>19619.3019933665</v>
      </c>
      <c r="H709" s="4">
        <f t="shared" si="134"/>
        <v>3553.71</v>
      </c>
      <c r="I709" s="11">
        <v>4944.2176</v>
      </c>
      <c r="J709" s="11">
        <v>20143.5996473717</v>
      </c>
      <c r="K709" s="4">
        <f t="shared" si="135"/>
        <v>3734.57</v>
      </c>
    </row>
    <row r="710" spans="1:11">
      <c r="A710" s="1" t="s">
        <v>12</v>
      </c>
      <c r="B710" s="1">
        <v>2028</v>
      </c>
      <c r="C710" s="10">
        <v>5022.5599</v>
      </c>
      <c r="D710" s="11">
        <v>20218.9411304861</v>
      </c>
      <c r="E710" s="3">
        <f t="shared" si="133"/>
        <v>3715.46</v>
      </c>
      <c r="F710" s="11">
        <v>5180.2613</v>
      </c>
      <c r="G710" s="11">
        <v>19915.3038354901</v>
      </c>
      <c r="H710" s="4">
        <f t="shared" si="134"/>
        <v>3553.71</v>
      </c>
      <c r="I710" s="11">
        <v>4949.5382</v>
      </c>
      <c r="J710" s="11">
        <v>20412.6897347131</v>
      </c>
      <c r="K710" s="4">
        <f t="shared" si="135"/>
        <v>3734.57</v>
      </c>
    </row>
    <row r="711" spans="1:11">
      <c r="A711" s="1" t="s">
        <v>12</v>
      </c>
      <c r="B711" s="1">
        <v>2029</v>
      </c>
      <c r="C711" s="10">
        <v>5037.8804</v>
      </c>
      <c r="D711" s="11">
        <v>20484.8743735208</v>
      </c>
      <c r="E711" s="3">
        <f t="shared" si="133"/>
        <v>3715.46</v>
      </c>
      <c r="F711" s="11">
        <v>5206.8442</v>
      </c>
      <c r="G711" s="11">
        <v>20178.4539780283</v>
      </c>
      <c r="H711" s="4">
        <f t="shared" si="134"/>
        <v>3553.71</v>
      </c>
      <c r="I711" s="11">
        <v>4954.3915</v>
      </c>
      <c r="J711" s="11">
        <v>20694.1834065717</v>
      </c>
      <c r="K711" s="4">
        <f t="shared" si="135"/>
        <v>3734.57</v>
      </c>
    </row>
    <row r="712" spans="1:11">
      <c r="A712" s="1" t="s">
        <v>12</v>
      </c>
      <c r="B712" s="1">
        <v>2030</v>
      </c>
      <c r="C712" s="10">
        <v>5053.2883</v>
      </c>
      <c r="D712" s="11">
        <v>20756.1167290471</v>
      </c>
      <c r="E712" s="18">
        <v>4007.78</v>
      </c>
      <c r="F712" s="11">
        <v>5233.6439</v>
      </c>
      <c r="G712" s="11">
        <v>20435.8008868161</v>
      </c>
      <c r="H712" s="17">
        <v>3782.38</v>
      </c>
      <c r="I712" s="11">
        <v>4959.1794</v>
      </c>
      <c r="J712" s="11">
        <v>21005.8623309758</v>
      </c>
      <c r="K712" s="17">
        <v>4039.56</v>
      </c>
    </row>
    <row r="713" spans="1:11">
      <c r="A713" s="1" t="s">
        <v>12</v>
      </c>
      <c r="B713" s="1">
        <v>2031</v>
      </c>
      <c r="C713" s="10">
        <v>5068.9241</v>
      </c>
      <c r="D713" s="11">
        <v>21045.5185817693</v>
      </c>
      <c r="E713" s="3">
        <f t="shared" ref="E713:E716" si="136">E712*(1+$L$712)</f>
        <v>4007.78</v>
      </c>
      <c r="F713" s="11">
        <v>5260.8886</v>
      </c>
      <c r="G713" s="11">
        <v>20708.8642974318</v>
      </c>
      <c r="H713" s="4">
        <f t="shared" ref="H713:H716" si="137">H712*(1+M$712)</f>
        <v>3782.38</v>
      </c>
      <c r="I713" s="11">
        <v>4964.2228</v>
      </c>
      <c r="J713" s="11">
        <v>21360.1622273632</v>
      </c>
      <c r="K713" s="4">
        <f t="shared" ref="K713:K716" si="138">K712*(1+N$712)</f>
        <v>4039.56</v>
      </c>
    </row>
    <row r="714" spans="1:11">
      <c r="A714" s="1" t="s">
        <v>12</v>
      </c>
      <c r="B714" s="1">
        <v>2032</v>
      </c>
      <c r="C714" s="10">
        <v>5084.7756</v>
      </c>
      <c r="D714" s="11">
        <v>21348.9179437996</v>
      </c>
      <c r="E714" s="3">
        <f t="shared" si="136"/>
        <v>4007.78</v>
      </c>
      <c r="F714" s="11">
        <v>5288.6836</v>
      </c>
      <c r="G714" s="11">
        <v>20997.0490244253</v>
      </c>
      <c r="H714" s="4">
        <f t="shared" si="137"/>
        <v>3782.38</v>
      </c>
      <c r="I714" s="11">
        <v>4969.5198</v>
      </c>
      <c r="J714" s="11">
        <v>21748.13502081</v>
      </c>
      <c r="K714" s="4">
        <f t="shared" si="138"/>
        <v>4039.56</v>
      </c>
    </row>
    <row r="715" spans="1:11">
      <c r="A715" s="1" t="s">
        <v>12</v>
      </c>
      <c r="B715" s="1">
        <v>2033</v>
      </c>
      <c r="C715" s="10">
        <v>5100.7927</v>
      </c>
      <c r="D715" s="11">
        <v>21657.8997341018</v>
      </c>
      <c r="E715" s="3">
        <f t="shared" si="136"/>
        <v>4007.78</v>
      </c>
      <c r="F715" s="11">
        <v>5317.1044</v>
      </c>
      <c r="G715" s="11">
        <v>21294.2311520895</v>
      </c>
      <c r="H715" s="4">
        <f t="shared" si="137"/>
        <v>3782.38</v>
      </c>
      <c r="I715" s="11">
        <v>4974.9881</v>
      </c>
      <c r="J715" s="11">
        <v>22155.486687802</v>
      </c>
      <c r="K715" s="4">
        <f t="shared" si="138"/>
        <v>4039.56</v>
      </c>
    </row>
    <row r="716" spans="1:11">
      <c r="A716" s="1" t="s">
        <v>12</v>
      </c>
      <c r="B716" s="1">
        <v>2034</v>
      </c>
      <c r="C716" s="10">
        <v>5116.9251</v>
      </c>
      <c r="D716" s="11">
        <v>21964.0488716398</v>
      </c>
      <c r="E716" s="3">
        <f t="shared" si="136"/>
        <v>4007.78</v>
      </c>
      <c r="F716" s="11">
        <v>5346.228</v>
      </c>
      <c r="G716" s="11">
        <v>21594.2867647173</v>
      </c>
      <c r="H716" s="4">
        <f t="shared" si="137"/>
        <v>3782.38</v>
      </c>
      <c r="I716" s="11">
        <v>4980.5455</v>
      </c>
      <c r="J716" s="11">
        <v>22567.9232048249</v>
      </c>
      <c r="K716" s="4">
        <f t="shared" si="138"/>
        <v>4039.56</v>
      </c>
    </row>
    <row r="717" spans="1:11">
      <c r="A717" s="1" t="s">
        <v>12</v>
      </c>
      <c r="B717" s="1">
        <v>2035</v>
      </c>
      <c r="C717" s="10">
        <v>5133.1228</v>
      </c>
      <c r="D717" s="11">
        <v>22258.9502753777</v>
      </c>
      <c r="E717" s="18">
        <v>4195.94</v>
      </c>
      <c r="F717" s="11">
        <v>5376.1334</v>
      </c>
      <c r="G717" s="11">
        <v>21891.0919466018</v>
      </c>
      <c r="H717" s="17">
        <v>3939.07</v>
      </c>
      <c r="I717" s="11">
        <v>4986.1096</v>
      </c>
      <c r="J717" s="11">
        <v>22971.1505483643</v>
      </c>
      <c r="K717" s="17">
        <v>4244.58</v>
      </c>
    </row>
    <row r="718" spans="1:11">
      <c r="A718" s="1" t="s">
        <v>12</v>
      </c>
      <c r="B718" s="1">
        <v>2036</v>
      </c>
      <c r="C718" s="10">
        <v>5149.3155</v>
      </c>
      <c r="D718" s="11">
        <v>22536.7007753944</v>
      </c>
      <c r="E718" s="3">
        <f t="shared" ref="E718:E721" si="139">E717*(1+$L$717)</f>
        <v>4195.94</v>
      </c>
      <c r="F718" s="11">
        <v>5406.8597</v>
      </c>
      <c r="G718" s="11">
        <v>22178.713578477</v>
      </c>
      <c r="H718" s="4">
        <f t="shared" ref="H718:H721" si="140">H717*(1+M$717)</f>
        <v>3939.07</v>
      </c>
      <c r="I718" s="11">
        <v>4991.5876</v>
      </c>
      <c r="J718" s="11">
        <v>23354.778514452</v>
      </c>
      <c r="K718" s="4">
        <f t="shared" ref="K718:K721" si="141">K717*(1+N$717)</f>
        <v>4244.58</v>
      </c>
    </row>
    <row r="719" spans="1:11">
      <c r="A719" s="1" t="s">
        <v>12</v>
      </c>
      <c r="B719" s="1">
        <v>2037</v>
      </c>
      <c r="C719" s="10">
        <v>5165.3531</v>
      </c>
      <c r="D719" s="11">
        <v>22801.4448462293</v>
      </c>
      <c r="E719" s="3">
        <f t="shared" si="139"/>
        <v>4195.94</v>
      </c>
      <c r="F719" s="11">
        <v>5438.2827</v>
      </c>
      <c r="G719" s="11">
        <v>22451.9817268414</v>
      </c>
      <c r="H719" s="4">
        <f t="shared" si="140"/>
        <v>3939.07</v>
      </c>
      <c r="I719" s="11">
        <v>4996.8437</v>
      </c>
      <c r="J719" s="11">
        <v>23724.0321773036</v>
      </c>
      <c r="K719" s="4">
        <f t="shared" si="141"/>
        <v>4244.58</v>
      </c>
    </row>
    <row r="720" spans="1:11">
      <c r="A720" s="1" t="s">
        <v>12</v>
      </c>
      <c r="B720" s="1">
        <v>2038</v>
      </c>
      <c r="C720" s="10">
        <v>5181.065</v>
      </c>
      <c r="D720" s="11">
        <v>23059.838873537</v>
      </c>
      <c r="E720" s="3">
        <f t="shared" si="139"/>
        <v>4195.94</v>
      </c>
      <c r="F720" s="11">
        <v>5470.2368</v>
      </c>
      <c r="G720" s="11">
        <v>22705.9172546347</v>
      </c>
      <c r="H720" s="4">
        <f t="shared" si="140"/>
        <v>3939.07</v>
      </c>
      <c r="I720" s="11">
        <v>5001.7313</v>
      </c>
      <c r="J720" s="11">
        <v>24088.0404306809</v>
      </c>
      <c r="K720" s="4">
        <f t="shared" si="141"/>
        <v>4244.58</v>
      </c>
    </row>
    <row r="721" spans="1:11">
      <c r="A721" s="1" t="s">
        <v>12</v>
      </c>
      <c r="B721" s="1">
        <v>2039</v>
      </c>
      <c r="C721" s="10">
        <v>5196.2806</v>
      </c>
      <c r="D721" s="11">
        <v>23318.539242972</v>
      </c>
      <c r="E721" s="3">
        <f t="shared" si="139"/>
        <v>4195.94</v>
      </c>
      <c r="F721" s="11">
        <v>5502.5557</v>
      </c>
      <c r="G721" s="11">
        <v>22935.5410247964</v>
      </c>
      <c r="H721" s="4">
        <f t="shared" si="140"/>
        <v>3939.07</v>
      </c>
      <c r="I721" s="11">
        <v>5006.1036</v>
      </c>
      <c r="J721" s="11">
        <v>24455.9321683455</v>
      </c>
      <c r="K721" s="4">
        <f t="shared" si="141"/>
        <v>4244.58</v>
      </c>
    </row>
    <row r="722" spans="1:11">
      <c r="A722" s="1" t="s">
        <v>12</v>
      </c>
      <c r="B722" s="1">
        <v>2040</v>
      </c>
      <c r="C722" s="10">
        <v>5210.8286</v>
      </c>
      <c r="D722" s="11">
        <v>23584.2023401889</v>
      </c>
      <c r="E722" s="18">
        <v>4380.46</v>
      </c>
      <c r="F722" s="11">
        <v>5535.0725</v>
      </c>
      <c r="G722" s="11">
        <v>23135.8739002663</v>
      </c>
      <c r="H722" s="17">
        <v>4092.27</v>
      </c>
      <c r="I722" s="11">
        <v>5009.8137</v>
      </c>
      <c r="J722" s="11">
        <v>24836.8362840591</v>
      </c>
      <c r="K722" s="17">
        <v>4447.05</v>
      </c>
    </row>
    <row r="723" spans="1:11">
      <c r="A723" s="1" t="s">
        <v>12</v>
      </c>
      <c r="B723" s="1">
        <v>2041</v>
      </c>
      <c r="C723" s="10">
        <v>5224.5603</v>
      </c>
      <c r="D723" s="11">
        <v>23864.1081987963</v>
      </c>
      <c r="E723" s="3">
        <f t="shared" ref="E723:E726" si="142">E722*(1+$L$722)</f>
        <v>4380.46</v>
      </c>
      <c r="F723" s="11">
        <v>5567.642</v>
      </c>
      <c r="G723" s="11">
        <v>23306.1780070513</v>
      </c>
      <c r="H723" s="4">
        <f t="shared" ref="H723:H726" si="143">H722*(1+M$722)</f>
        <v>4092.27</v>
      </c>
      <c r="I723" s="11">
        <v>5012.7319</v>
      </c>
      <c r="J723" s="11">
        <v>25241.8566052534</v>
      </c>
      <c r="K723" s="4">
        <f t="shared" ref="K723:K726" si="144">K722*(1+N$722)</f>
        <v>4447.05</v>
      </c>
    </row>
    <row r="724" spans="1:11">
      <c r="A724" s="1" t="s">
        <v>12</v>
      </c>
      <c r="B724" s="1">
        <v>2042</v>
      </c>
      <c r="C724" s="10">
        <v>5237.4169</v>
      </c>
      <c r="D724" s="11">
        <v>24168.0314442193</v>
      </c>
      <c r="E724" s="3">
        <f t="shared" si="142"/>
        <v>4380.46</v>
      </c>
      <c r="F724" s="11">
        <v>5600.2084</v>
      </c>
      <c r="G724" s="11">
        <v>23462.6805234275</v>
      </c>
      <c r="H724" s="4">
        <f t="shared" si="143"/>
        <v>4092.27</v>
      </c>
      <c r="I724" s="11">
        <v>5014.7982</v>
      </c>
      <c r="J724" s="11">
        <v>25689.9966940398</v>
      </c>
      <c r="K724" s="4">
        <f t="shared" si="144"/>
        <v>4447.05</v>
      </c>
    </row>
    <row r="725" spans="1:11">
      <c r="A725" s="1" t="s">
        <v>12</v>
      </c>
      <c r="B725" s="1">
        <v>2043</v>
      </c>
      <c r="C725" s="10">
        <v>5249.3622</v>
      </c>
      <c r="D725" s="11">
        <v>24506.3703498372</v>
      </c>
      <c r="E725" s="3">
        <f t="shared" si="142"/>
        <v>4380.46</v>
      </c>
      <c r="F725" s="11">
        <v>5632.7362</v>
      </c>
      <c r="G725" s="11">
        <v>23625.8498907386</v>
      </c>
      <c r="H725" s="4">
        <f t="shared" si="143"/>
        <v>4092.27</v>
      </c>
      <c r="I725" s="11">
        <v>5015.9695</v>
      </c>
      <c r="J725" s="11">
        <v>26202.2350461997</v>
      </c>
      <c r="K725" s="4">
        <f t="shared" si="144"/>
        <v>4447.05</v>
      </c>
    </row>
    <row r="726" spans="1:11">
      <c r="A726" s="1" t="s">
        <v>12</v>
      </c>
      <c r="B726" s="1">
        <v>2044</v>
      </c>
      <c r="C726" s="10">
        <v>5260.3591</v>
      </c>
      <c r="D726" s="11">
        <v>24889.5231890293</v>
      </c>
      <c r="E726" s="3">
        <f t="shared" si="142"/>
        <v>4380.46</v>
      </c>
      <c r="F726" s="11">
        <v>5665.1883</v>
      </c>
      <c r="G726" s="11">
        <v>23816.1545503279</v>
      </c>
      <c r="H726" s="4">
        <f t="shared" si="143"/>
        <v>4092.27</v>
      </c>
      <c r="I726" s="11">
        <v>5016.2026</v>
      </c>
      <c r="J726" s="11">
        <v>26799.5501575145</v>
      </c>
      <c r="K726" s="4">
        <f t="shared" si="144"/>
        <v>4447.05</v>
      </c>
    </row>
    <row r="727" spans="1:11">
      <c r="A727" s="1" t="s">
        <v>12</v>
      </c>
      <c r="B727" s="1">
        <v>2045</v>
      </c>
      <c r="C727" s="10">
        <v>5270.3701</v>
      </c>
      <c r="D727" s="11">
        <v>25327.8882351747</v>
      </c>
      <c r="E727" s="18">
        <v>4458.8</v>
      </c>
      <c r="F727" s="11">
        <v>5697.525</v>
      </c>
      <c r="G727" s="11">
        <v>24054.062943539</v>
      </c>
      <c r="H727" s="17">
        <v>4181.25</v>
      </c>
      <c r="I727" s="11">
        <v>5015.454</v>
      </c>
      <c r="J727" s="11">
        <v>27502.9205237656</v>
      </c>
      <c r="K727" s="17">
        <v>4557.51</v>
      </c>
    </row>
    <row r="728" spans="1:11">
      <c r="A728" s="1" t="s">
        <v>12</v>
      </c>
      <c r="B728" s="1">
        <v>2046</v>
      </c>
      <c r="C728" s="10">
        <v>5279.3726</v>
      </c>
      <c r="D728" s="11">
        <v>25823.9807270713</v>
      </c>
      <c r="E728" s="3">
        <f t="shared" ref="E728:E731" si="145">E727*(1+$L$727)</f>
        <v>4458.8</v>
      </c>
      <c r="F728" s="11">
        <v>5729.7098</v>
      </c>
      <c r="G728" s="11">
        <v>24351.5296503706</v>
      </c>
      <c r="H728" s="4">
        <f t="shared" ref="H728:H731" si="146">H727*(1+M$727)</f>
        <v>4181.25</v>
      </c>
      <c r="I728" s="11">
        <v>5013.695</v>
      </c>
      <c r="J728" s="11">
        <v>28320.6211159945</v>
      </c>
      <c r="K728" s="4">
        <f t="shared" ref="K728:K731" si="147">K727*(1+N$727)</f>
        <v>4557.51</v>
      </c>
    </row>
    <row r="729" spans="1:11">
      <c r="A729" s="1" t="s">
        <v>12</v>
      </c>
      <c r="B729" s="1">
        <v>2047</v>
      </c>
      <c r="C729" s="10">
        <v>5287.4071</v>
      </c>
      <c r="D729" s="11">
        <v>26348.78376519</v>
      </c>
      <c r="E729" s="3">
        <f t="shared" si="145"/>
        <v>4458.8</v>
      </c>
      <c r="F729" s="11">
        <v>5761.7258</v>
      </c>
      <c r="G729" s="11">
        <v>24686.4538054413</v>
      </c>
      <c r="H729" s="4">
        <f t="shared" si="146"/>
        <v>4181.25</v>
      </c>
      <c r="I729" s="11">
        <v>5010.9574</v>
      </c>
      <c r="J729" s="11">
        <v>29210.1128062829</v>
      </c>
      <c r="K729" s="4">
        <f t="shared" si="147"/>
        <v>4557.51</v>
      </c>
    </row>
    <row r="730" spans="1:11">
      <c r="A730" s="1" t="s">
        <v>12</v>
      </c>
      <c r="B730" s="1">
        <v>2048</v>
      </c>
      <c r="C730" s="10">
        <v>5294.5315</v>
      </c>
      <c r="D730" s="11">
        <v>26865.3974154203</v>
      </c>
      <c r="E730" s="3">
        <f t="shared" si="145"/>
        <v>4458.8</v>
      </c>
      <c r="F730" s="11">
        <v>5793.5648</v>
      </c>
      <c r="G730" s="11">
        <v>25028.2206820253</v>
      </c>
      <c r="H730" s="4">
        <f t="shared" si="146"/>
        <v>4181.25</v>
      </c>
      <c r="I730" s="11">
        <v>5007.289</v>
      </c>
      <c r="J730" s="11">
        <v>30116.1529419728</v>
      </c>
      <c r="K730" s="4">
        <f t="shared" si="147"/>
        <v>4557.51</v>
      </c>
    </row>
    <row r="731" spans="1:11">
      <c r="A731" s="1" t="s">
        <v>12</v>
      </c>
      <c r="B731" s="1">
        <v>2049</v>
      </c>
      <c r="C731" s="10">
        <v>5300.805</v>
      </c>
      <c r="D731" s="11">
        <v>27336.9217436517</v>
      </c>
      <c r="E731" s="3">
        <f t="shared" si="145"/>
        <v>4458.8</v>
      </c>
      <c r="F731" s="11">
        <v>5825.2228</v>
      </c>
      <c r="G731" s="11">
        <v>25346.2155533964</v>
      </c>
      <c r="H731" s="4">
        <f t="shared" si="146"/>
        <v>4181.25</v>
      </c>
      <c r="I731" s="11">
        <v>5002.7386</v>
      </c>
      <c r="J731" s="11">
        <v>30983.4988704059</v>
      </c>
      <c r="K731" s="4">
        <f t="shared" si="147"/>
        <v>4557.51</v>
      </c>
    </row>
    <row r="732" spans="1:11">
      <c r="A732" s="1" t="s">
        <v>12</v>
      </c>
      <c r="B732" s="1">
        <v>2050</v>
      </c>
      <c r="C732" s="10">
        <v>5306.2887</v>
      </c>
      <c r="D732" s="11">
        <v>27726.4568157736</v>
      </c>
      <c r="E732" s="18">
        <v>4537.62</v>
      </c>
      <c r="F732" s="11">
        <v>5856.7005</v>
      </c>
      <c r="G732" s="11">
        <v>25609.8236928286</v>
      </c>
      <c r="H732" s="17">
        <v>4271.45</v>
      </c>
      <c r="I732" s="11">
        <v>4997.3556</v>
      </c>
      <c r="J732" s="11">
        <v>31756.9079389242</v>
      </c>
      <c r="K732" s="17">
        <v>4662.36</v>
      </c>
    </row>
    <row r="733" spans="1:11">
      <c r="A733" s="1" t="s">
        <v>12</v>
      </c>
      <c r="B733" s="1">
        <v>2051</v>
      </c>
      <c r="C733" s="10">
        <v>5311.0471</v>
      </c>
      <c r="D733" s="11">
        <v>28009.2278409151</v>
      </c>
      <c r="E733" s="18">
        <v>4537.62</v>
      </c>
      <c r="F733" s="11">
        <v>5888.0241</v>
      </c>
      <c r="G733" s="11">
        <v>25798.0045271224</v>
      </c>
      <c r="H733" s="17">
        <v>4271.45</v>
      </c>
      <c r="I733" s="11">
        <v>4991.1935</v>
      </c>
      <c r="J733" s="11">
        <v>32396.9362170519</v>
      </c>
      <c r="K733" s="17">
        <v>4662.36</v>
      </c>
    </row>
    <row r="734" spans="1:11">
      <c r="A734" s="1" t="s">
        <v>12</v>
      </c>
      <c r="B734" s="1">
        <v>2052</v>
      </c>
      <c r="C734" s="10">
        <v>5315.1541</v>
      </c>
      <c r="D734" s="11">
        <v>28208.9606011627</v>
      </c>
      <c r="E734" s="18">
        <v>4537.62</v>
      </c>
      <c r="F734" s="11">
        <v>5919.3078</v>
      </c>
      <c r="G734" s="11">
        <v>25928.0140971839</v>
      </c>
      <c r="H734" s="17">
        <v>4271.45</v>
      </c>
      <c r="I734" s="11">
        <v>4984.3177</v>
      </c>
      <c r="J734" s="11">
        <v>32927.3346630434</v>
      </c>
      <c r="K734" s="17">
        <v>4662.36</v>
      </c>
    </row>
    <row r="735" spans="1:11">
      <c r="A735" s="1" t="s">
        <v>12</v>
      </c>
      <c r="B735" s="1">
        <v>2053</v>
      </c>
      <c r="C735" s="10">
        <v>5318.6891</v>
      </c>
      <c r="D735" s="11">
        <v>28361.5060218426</v>
      </c>
      <c r="E735" s="18">
        <v>4537.62</v>
      </c>
      <c r="F735" s="11">
        <v>5950.6912</v>
      </c>
      <c r="G735" s="11">
        <v>26026.6825974458</v>
      </c>
      <c r="H735" s="17">
        <v>4271.45</v>
      </c>
      <c r="I735" s="11">
        <v>4976.7982</v>
      </c>
      <c r="J735" s="11">
        <v>33387.6529573355</v>
      </c>
      <c r="K735" s="17">
        <v>4662.36</v>
      </c>
    </row>
    <row r="736" spans="1:11">
      <c r="A736" s="1" t="s">
        <v>12</v>
      </c>
      <c r="B736" s="1">
        <v>2054</v>
      </c>
      <c r="C736" s="10">
        <v>5321.7352</v>
      </c>
      <c r="D736" s="11">
        <v>28502.7150282809</v>
      </c>
      <c r="E736" s="18">
        <v>4537.62</v>
      </c>
      <c r="F736" s="11">
        <v>5982.3195</v>
      </c>
      <c r="G736" s="11">
        <v>26120.8402223408</v>
      </c>
      <c r="H736" s="17">
        <v>4271.45</v>
      </c>
      <c r="I736" s="11">
        <v>4968.7077</v>
      </c>
      <c r="J736" s="11">
        <v>33817.4407803649</v>
      </c>
      <c r="K736" s="17">
        <v>4662.36</v>
      </c>
    </row>
    <row r="737" spans="1:11">
      <c r="A737" s="1" t="s">
        <v>12</v>
      </c>
      <c r="B737" s="1">
        <v>2055</v>
      </c>
      <c r="C737" s="10">
        <v>5324.3801</v>
      </c>
      <c r="D737" s="11">
        <v>28668.4385458038</v>
      </c>
      <c r="E737" s="18">
        <v>4537.62</v>
      </c>
      <c r="F737" s="11">
        <v>6014.3433</v>
      </c>
      <c r="G737" s="11">
        <v>26237.3171663016</v>
      </c>
      <c r="H737" s="17">
        <v>4271.45</v>
      </c>
      <c r="I737" s="11">
        <v>4960.1213</v>
      </c>
      <c r="J737" s="11">
        <v>34256.2478125683</v>
      </c>
      <c r="K737" s="17">
        <v>4662.36</v>
      </c>
    </row>
    <row r="738" spans="1:11">
      <c r="A738" s="1" t="s">
        <v>12</v>
      </c>
      <c r="B738" s="1">
        <v>2056</v>
      </c>
      <c r="C738" s="10">
        <v>5326.6904</v>
      </c>
      <c r="D738" s="11">
        <v>28883.6769279397</v>
      </c>
      <c r="E738" s="18">
        <v>4537.62</v>
      </c>
      <c r="F738" s="11">
        <v>6046.9037</v>
      </c>
      <c r="G738" s="11">
        <v>26396.9206952159</v>
      </c>
      <c r="H738" s="17">
        <v>4271.45</v>
      </c>
      <c r="I738" s="11">
        <v>4951.0924</v>
      </c>
      <c r="J738" s="11">
        <v>34736.95337604</v>
      </c>
      <c r="K738" s="17">
        <v>4662.36</v>
      </c>
    </row>
    <row r="739" spans="1:11">
      <c r="A739" s="1" t="s">
        <v>12</v>
      </c>
      <c r="B739" s="1">
        <v>2057</v>
      </c>
      <c r="C739" s="10">
        <v>5328.6342</v>
      </c>
      <c r="D739" s="11">
        <v>29130.0282410258</v>
      </c>
      <c r="E739" s="18">
        <v>4537.62</v>
      </c>
      <c r="F739" s="11">
        <v>6080.0834</v>
      </c>
      <c r="G739" s="11">
        <v>26596.3663607917</v>
      </c>
      <c r="H739" s="17">
        <v>4271.45</v>
      </c>
      <c r="I739" s="11">
        <v>4941.5785</v>
      </c>
      <c r="J739" s="11">
        <v>35265.7553595043</v>
      </c>
      <c r="K739" s="17">
        <v>4662.36</v>
      </c>
    </row>
    <row r="740" spans="1:11">
      <c r="A740" s="1" t="s">
        <v>12</v>
      </c>
      <c r="B740" s="1">
        <v>2058</v>
      </c>
      <c r="C740" s="10">
        <v>5330.1563</v>
      </c>
      <c r="D740" s="11">
        <v>29378.2399796017</v>
      </c>
      <c r="E740" s="18">
        <v>4537.62</v>
      </c>
      <c r="F740" s="11">
        <v>6113.9526</v>
      </c>
      <c r="G740" s="11">
        <v>26826.346786192</v>
      </c>
      <c r="H740" s="17">
        <v>4271.45</v>
      </c>
      <c r="I740" s="11">
        <v>4931.5139</v>
      </c>
      <c r="J740" s="11">
        <v>35842.1812933428</v>
      </c>
      <c r="K740" s="17">
        <v>4662.36</v>
      </c>
    </row>
    <row r="741" spans="1:11">
      <c r="A741" s="1" t="s">
        <v>12</v>
      </c>
      <c r="B741" s="1">
        <v>2059</v>
      </c>
      <c r="C741" s="10">
        <v>5331.2047</v>
      </c>
      <c r="D741" s="11">
        <v>29599.059638207</v>
      </c>
      <c r="E741" s="18">
        <v>4537.62</v>
      </c>
      <c r="F741" s="11">
        <v>6148.5835</v>
      </c>
      <c r="G741" s="11">
        <v>27077.5545945799</v>
      </c>
      <c r="H741" s="17">
        <v>4271.45</v>
      </c>
      <c r="I741" s="11">
        <v>4920.8343</v>
      </c>
      <c r="J741" s="11">
        <v>36465.7587079371</v>
      </c>
      <c r="K741" s="17">
        <v>4662.36</v>
      </c>
    </row>
    <row r="742" spans="1:11">
      <c r="A742" s="1" t="s">
        <v>12</v>
      </c>
      <c r="B742" s="1">
        <v>2060</v>
      </c>
      <c r="C742" s="10">
        <v>5331.73</v>
      </c>
      <c r="D742" s="11">
        <v>29763.2347113813</v>
      </c>
      <c r="E742" s="18">
        <v>4537.62</v>
      </c>
      <c r="F742" s="11">
        <v>6184.0512</v>
      </c>
      <c r="G742" s="11">
        <v>27340.6824091184</v>
      </c>
      <c r="H742" s="17">
        <v>4271.45</v>
      </c>
      <c r="I742" s="11">
        <v>4909.4765</v>
      </c>
      <c r="J742" s="11">
        <v>37136.015133669</v>
      </c>
      <c r="K742" s="17">
        <v>4662.36</v>
      </c>
    </row>
    <row r="743" spans="1:11">
      <c r="A743" s="1" t="s">
        <v>12</v>
      </c>
      <c r="B743" s="1">
        <v>2061</v>
      </c>
      <c r="C743" s="10">
        <v>5331.713</v>
      </c>
      <c r="D743" s="11">
        <v>29850.6091596341</v>
      </c>
      <c r="E743" s="18">
        <v>4537.62</v>
      </c>
      <c r="F743" s="11">
        <v>6220.4508</v>
      </c>
      <c r="G743" s="11">
        <v>27605.2902594282</v>
      </c>
      <c r="H743" s="17">
        <v>4271.45</v>
      </c>
      <c r="I743" s="11">
        <v>4897.4112</v>
      </c>
      <c r="J743" s="11">
        <v>37850.3556479149</v>
      </c>
      <c r="K743" s="17">
        <v>4662.36</v>
      </c>
    </row>
    <row r="744" spans="1:11">
      <c r="A744" s="1" t="s">
        <v>12</v>
      </c>
      <c r="B744" s="1">
        <v>2062</v>
      </c>
      <c r="C744" s="10">
        <v>5331.2444</v>
      </c>
      <c r="D744" s="11">
        <v>29877.4128073549</v>
      </c>
      <c r="E744" s="18">
        <v>4537.62</v>
      </c>
      <c r="F744" s="11">
        <v>6257.95</v>
      </c>
      <c r="G744" s="11">
        <v>27856.4078009613</v>
      </c>
      <c r="H744" s="17">
        <v>4271.45</v>
      </c>
      <c r="I744" s="11">
        <v>4884.739</v>
      </c>
      <c r="J744" s="11">
        <v>38597.6955160308</v>
      </c>
      <c r="K744" s="17">
        <v>4662.36</v>
      </c>
    </row>
    <row r="745" spans="1:11">
      <c r="A745" s="1" t="s">
        <v>12</v>
      </c>
      <c r="B745" s="1">
        <v>2063</v>
      </c>
      <c r="C745" s="10">
        <v>5330.4388</v>
      </c>
      <c r="D745" s="11">
        <v>29868.9719449034</v>
      </c>
      <c r="E745" s="18">
        <v>4537.62</v>
      </c>
      <c r="F745" s="11">
        <v>6296.7304</v>
      </c>
      <c r="G745" s="11">
        <v>28077.9320956273</v>
      </c>
      <c r="H745" s="17">
        <v>4271.45</v>
      </c>
      <c r="I745" s="11">
        <v>4871.5909</v>
      </c>
      <c r="J745" s="11">
        <v>39364.8275503674</v>
      </c>
      <c r="K745" s="17">
        <v>4662.36</v>
      </c>
    </row>
    <row r="746" spans="1:11">
      <c r="A746" s="1" t="s">
        <v>12</v>
      </c>
      <c r="B746" s="1">
        <v>2064</v>
      </c>
      <c r="C746" s="10">
        <v>5329.4054</v>
      </c>
      <c r="D746" s="11">
        <v>29850.6128626392</v>
      </c>
      <c r="E746" s="18">
        <v>4537.62</v>
      </c>
      <c r="F746" s="11">
        <v>6336.9684</v>
      </c>
      <c r="G746" s="11">
        <v>28253.7602053358</v>
      </c>
      <c r="H746" s="17">
        <v>4271.45</v>
      </c>
      <c r="I746" s="11">
        <v>4858.0956</v>
      </c>
      <c r="J746" s="11">
        <v>40138.5445632754</v>
      </c>
      <c r="K746" s="17">
        <v>4662.36</v>
      </c>
    </row>
    <row r="747" spans="1:11">
      <c r="A747" s="1" t="s">
        <v>12</v>
      </c>
      <c r="B747" s="1">
        <v>2065</v>
      </c>
      <c r="C747" s="10">
        <v>5328.2486</v>
      </c>
      <c r="D747" s="11">
        <v>29847.6618509219</v>
      </c>
      <c r="E747" s="18">
        <v>4537.62</v>
      </c>
      <c r="F747" s="11">
        <v>6378.8349</v>
      </c>
      <c r="G747" s="11">
        <v>28367.7891919966</v>
      </c>
      <c r="H747" s="17">
        <v>4271.45</v>
      </c>
      <c r="I747" s="11">
        <v>4844.3785</v>
      </c>
      <c r="J747" s="11">
        <v>40905.6393671055</v>
      </c>
      <c r="K747" s="17">
        <v>4662.36</v>
      </c>
    </row>
    <row r="748" spans="1:11">
      <c r="A748" s="1" t="s">
        <v>12</v>
      </c>
      <c r="B748" s="1">
        <v>2066</v>
      </c>
      <c r="C748" s="10">
        <v>5327.0989</v>
      </c>
      <c r="D748" s="11">
        <v>29878.7296762897</v>
      </c>
      <c r="E748" s="18">
        <v>4537.62</v>
      </c>
      <c r="F748" s="11">
        <v>6422.4661</v>
      </c>
      <c r="G748" s="11">
        <v>28412.8662980183</v>
      </c>
      <c r="H748" s="17">
        <v>4271.45</v>
      </c>
      <c r="I748" s="11">
        <v>4830.5919</v>
      </c>
      <c r="J748" s="11">
        <v>41651.0014460484</v>
      </c>
      <c r="K748" s="17">
        <v>4662.36</v>
      </c>
    </row>
    <row r="749" spans="1:11">
      <c r="A749" s="1" t="s">
        <v>12</v>
      </c>
      <c r="B749" s="1">
        <v>2067</v>
      </c>
      <c r="C749" s="10">
        <v>5326.2102</v>
      </c>
      <c r="D749" s="11">
        <v>29935.565009996</v>
      </c>
      <c r="E749" s="18">
        <v>4537.62</v>
      </c>
      <c r="F749" s="11">
        <v>6467.8776</v>
      </c>
      <c r="G749" s="11">
        <v>28417.639487805</v>
      </c>
      <c r="H749" s="17">
        <v>4271.45</v>
      </c>
      <c r="I749" s="11">
        <v>4817.0024</v>
      </c>
      <c r="J749" s="11">
        <v>42351.9069716555</v>
      </c>
      <c r="K749" s="17">
        <v>4662.36</v>
      </c>
    </row>
    <row r="750" spans="1:11">
      <c r="A750" s="1" t="s">
        <v>12</v>
      </c>
      <c r="B750" s="1">
        <v>2068</v>
      </c>
      <c r="C750" s="10">
        <v>5325.8625</v>
      </c>
      <c r="D750" s="11">
        <v>30003.2009994726</v>
      </c>
      <c r="E750" s="18">
        <v>4537.62</v>
      </c>
      <c r="F750" s="11">
        <v>6515.0483</v>
      </c>
      <c r="G750" s="11">
        <v>28419.7069062601</v>
      </c>
      <c r="H750" s="17">
        <v>4271.45</v>
      </c>
      <c r="I750" s="11">
        <v>4803.9039</v>
      </c>
      <c r="J750" s="11">
        <v>42983.7287873176</v>
      </c>
      <c r="K750" s="17">
        <v>4662.36</v>
      </c>
    </row>
    <row r="751" spans="1:11">
      <c r="A751" s="1" t="s">
        <v>12</v>
      </c>
      <c r="B751" s="1">
        <v>2069</v>
      </c>
      <c r="C751" s="10">
        <v>5326.3293</v>
      </c>
      <c r="D751" s="11">
        <v>30066.6707921516</v>
      </c>
      <c r="E751" s="18">
        <v>4537.62</v>
      </c>
      <c r="F751" s="11">
        <v>6563.9473</v>
      </c>
      <c r="G751" s="11">
        <v>28456.6666982867</v>
      </c>
      <c r="H751" s="17">
        <v>4271.45</v>
      </c>
      <c r="I751" s="11">
        <v>4791.5878</v>
      </c>
      <c r="J751" s="11">
        <v>43521.8397364261</v>
      </c>
      <c r="K751" s="17">
        <v>4662.36</v>
      </c>
    </row>
    <row r="752" spans="1:11">
      <c r="A752" s="1" t="s">
        <v>12</v>
      </c>
      <c r="B752" s="1">
        <v>2070</v>
      </c>
      <c r="C752" s="10">
        <v>5327.8763</v>
      </c>
      <c r="D752" s="11">
        <v>30111.0075354648</v>
      </c>
      <c r="E752" s="18">
        <v>4537.62</v>
      </c>
      <c r="F752" s="11">
        <v>6614.5339</v>
      </c>
      <c r="G752" s="11">
        <v>28566.1170087881</v>
      </c>
      <c r="H752" s="17">
        <v>4271.45</v>
      </c>
      <c r="I752" s="11">
        <v>4780.3426</v>
      </c>
      <c r="J752" s="11">
        <v>43941.612662372</v>
      </c>
      <c r="K752" s="17">
        <v>4662.36</v>
      </c>
    </row>
    <row r="753" spans="1:11">
      <c r="A753" s="1" t="s">
        <v>12</v>
      </c>
      <c r="B753" s="1">
        <v>2071</v>
      </c>
      <c r="C753" s="10">
        <v>5330.6428</v>
      </c>
      <c r="D753" s="11">
        <v>30126.1054132905</v>
      </c>
      <c r="E753" s="18">
        <v>4537.62</v>
      </c>
      <c r="F753" s="11">
        <v>6666.7365</v>
      </c>
      <c r="G753" s="11">
        <v>28774.3378403825</v>
      </c>
      <c r="H753" s="17">
        <v>4271.45</v>
      </c>
      <c r="I753" s="11">
        <v>4770.3293</v>
      </c>
      <c r="J753" s="11">
        <v>44232.7482266485</v>
      </c>
      <c r="K753" s="17">
        <v>4662.36</v>
      </c>
    </row>
    <row r="754" spans="1:11">
      <c r="A754" s="1" t="s">
        <v>12</v>
      </c>
      <c r="B754" s="1">
        <v>2072</v>
      </c>
      <c r="C754" s="10">
        <v>5334.2883</v>
      </c>
      <c r="D754" s="11">
        <v>30121.3027552913</v>
      </c>
      <c r="E754" s="18">
        <v>4537.62</v>
      </c>
      <c r="F754" s="11">
        <v>6720.3992</v>
      </c>
      <c r="G754" s="11">
        <v>29062.3366265477</v>
      </c>
      <c r="H754" s="17">
        <v>4271.45</v>
      </c>
      <c r="I754" s="11">
        <v>4761.2123</v>
      </c>
      <c r="J754" s="11">
        <v>44442.258363157</v>
      </c>
      <c r="K754" s="17">
        <v>4662.36</v>
      </c>
    </row>
    <row r="755" spans="1:11">
      <c r="A755" s="1" t="s">
        <v>12</v>
      </c>
      <c r="B755" s="1">
        <v>2073</v>
      </c>
      <c r="C755" s="10">
        <v>5338.3526</v>
      </c>
      <c r="D755" s="11">
        <v>30110.7989275763</v>
      </c>
      <c r="E755" s="18">
        <v>4537.62</v>
      </c>
      <c r="F755" s="11">
        <v>6775.3465</v>
      </c>
      <c r="G755" s="11">
        <v>29399.8026584768</v>
      </c>
      <c r="H755" s="17">
        <v>4271.45</v>
      </c>
      <c r="I755" s="11">
        <v>4752.5293</v>
      </c>
      <c r="J755" s="11">
        <v>44631.4828239008</v>
      </c>
      <c r="K755" s="17">
        <v>4662.36</v>
      </c>
    </row>
    <row r="756" spans="1:11">
      <c r="A756" s="1" t="s">
        <v>12</v>
      </c>
      <c r="B756" s="1">
        <v>2074</v>
      </c>
      <c r="C756" s="10">
        <v>5342.3744</v>
      </c>
      <c r="D756" s="11">
        <v>30108.7932962543</v>
      </c>
      <c r="E756" s="18">
        <v>4537.62</v>
      </c>
      <c r="F756" s="11">
        <v>6831.4048</v>
      </c>
      <c r="G756" s="11">
        <v>29756.4252273625</v>
      </c>
      <c r="H756" s="17">
        <v>4271.45</v>
      </c>
      <c r="I756" s="11">
        <v>4743.8159</v>
      </c>
      <c r="J756" s="11">
        <v>44861.7613608833</v>
      </c>
      <c r="K756" s="17">
        <v>4662.36</v>
      </c>
    </row>
    <row r="757" spans="1:11">
      <c r="A757" s="1" t="s">
        <v>12</v>
      </c>
      <c r="B757" s="1">
        <v>2075</v>
      </c>
      <c r="C757" s="10">
        <v>5345.8929</v>
      </c>
      <c r="D757" s="11">
        <v>30129.4852274343</v>
      </c>
      <c r="E757" s="18">
        <v>4537.62</v>
      </c>
      <c r="F757" s="11">
        <v>6888.4022</v>
      </c>
      <c r="G757" s="11">
        <v>30101.8936243979</v>
      </c>
      <c r="H757" s="17">
        <v>4271.45</v>
      </c>
      <c r="I757" s="11">
        <v>4734.6058</v>
      </c>
      <c r="J757" s="11">
        <v>45194.4337261077</v>
      </c>
      <c r="K757" s="17">
        <v>4662.36</v>
      </c>
    </row>
    <row r="758" spans="1:11">
      <c r="A758" s="1" t="s">
        <v>12</v>
      </c>
      <c r="B758" s="1">
        <v>2076</v>
      </c>
      <c r="C758" s="10">
        <v>5348.4622</v>
      </c>
      <c r="D758" s="11">
        <v>30182.0907264533</v>
      </c>
      <c r="E758" s="18">
        <v>4537.62</v>
      </c>
      <c r="F758" s="11">
        <v>6946.1936</v>
      </c>
      <c r="G758" s="11">
        <v>30411.7987753287</v>
      </c>
      <c r="H758" s="17">
        <v>4271.45</v>
      </c>
      <c r="I758" s="11">
        <v>4724.4552</v>
      </c>
      <c r="J758" s="11">
        <v>45669.5510532382</v>
      </c>
      <c r="K758" s="17">
        <v>4662.36</v>
      </c>
    </row>
    <row r="759" spans="1:11">
      <c r="A759" s="1" t="s">
        <v>12</v>
      </c>
      <c r="B759" s="1">
        <v>2077</v>
      </c>
      <c r="C759" s="10">
        <v>5349.7047</v>
      </c>
      <c r="D759" s="11">
        <v>30255.8923555616</v>
      </c>
      <c r="E759" s="18">
        <v>4537.62</v>
      </c>
      <c r="F759" s="11">
        <v>7004.7412</v>
      </c>
      <c r="G759" s="11">
        <v>30685.3381441125</v>
      </c>
      <c r="H759" s="17">
        <v>4271.45</v>
      </c>
      <c r="I759" s="11">
        <v>4713.0212</v>
      </c>
      <c r="J759" s="11">
        <v>46242.0100025817</v>
      </c>
      <c r="K759" s="17">
        <v>4662.36</v>
      </c>
    </row>
    <row r="760" spans="1:11">
      <c r="A760" s="1" t="s">
        <v>12</v>
      </c>
      <c r="B760" s="1">
        <v>2078</v>
      </c>
      <c r="C760" s="10">
        <v>5349.2789</v>
      </c>
      <c r="D760" s="11">
        <v>30335.1893162373</v>
      </c>
      <c r="E760" s="18">
        <v>4537.62</v>
      </c>
      <c r="F760" s="11">
        <v>7064.0546</v>
      </c>
      <c r="G760" s="11">
        <v>30927.61082926</v>
      </c>
      <c r="H760" s="17">
        <v>4271.45</v>
      </c>
      <c r="I760" s="11">
        <v>4699.9991</v>
      </c>
      <c r="J760" s="11">
        <v>46845.4186161057</v>
      </c>
      <c r="K760" s="17">
        <v>4662.36</v>
      </c>
    </row>
    <row r="761" spans="1:11">
      <c r="A761" s="1" t="s">
        <v>12</v>
      </c>
      <c r="B761" s="1">
        <v>2079</v>
      </c>
      <c r="C761" s="10">
        <v>5346.8683</v>
      </c>
      <c r="D761" s="11">
        <v>30404.2808099589</v>
      </c>
      <c r="E761" s="18">
        <v>4537.62</v>
      </c>
      <c r="F761" s="11">
        <v>7124.1695</v>
      </c>
      <c r="G761" s="11">
        <v>31143.7159292816</v>
      </c>
      <c r="H761" s="17">
        <v>4271.45</v>
      </c>
      <c r="I761" s="11">
        <v>4685.1</v>
      </c>
      <c r="J761" s="11">
        <v>47413.384935778</v>
      </c>
      <c r="K761" s="17">
        <v>4662.36</v>
      </c>
    </row>
    <row r="762" spans="1:11">
      <c r="A762" s="1" t="s">
        <v>12</v>
      </c>
      <c r="B762" s="1">
        <v>2080</v>
      </c>
      <c r="C762" s="10">
        <v>5342.1846</v>
      </c>
      <c r="D762" s="11">
        <v>30447.4660382046</v>
      </c>
      <c r="E762" s="18">
        <v>4537.62</v>
      </c>
      <c r="F762" s="11">
        <v>7185.1509</v>
      </c>
      <c r="G762" s="11">
        <v>31338.752542688</v>
      </c>
      <c r="H762" s="17">
        <v>4271.45</v>
      </c>
      <c r="I762" s="11">
        <v>4668.0539</v>
      </c>
      <c r="J762" s="11">
        <v>47879.5170035662</v>
      </c>
      <c r="K762" s="17">
        <v>4662.36</v>
      </c>
    </row>
    <row r="763" spans="1:11">
      <c r="A763" s="1" t="s">
        <v>12</v>
      </c>
      <c r="B763" s="1">
        <v>2081</v>
      </c>
      <c r="C763" s="10">
        <v>5335.1908</v>
      </c>
      <c r="D763" s="11">
        <v>30453.4990077393</v>
      </c>
      <c r="E763" s="18">
        <v>4537.62</v>
      </c>
      <c r="F763" s="11">
        <v>7247.1263</v>
      </c>
      <c r="G763" s="11">
        <v>31517.546513313</v>
      </c>
      <c r="H763" s="17">
        <v>4271.45</v>
      </c>
      <c r="I763" s="11">
        <v>4648.8139</v>
      </c>
      <c r="J763" s="11">
        <v>48196.3705084491</v>
      </c>
      <c r="K763" s="17">
        <v>4662.36</v>
      </c>
    </row>
    <row r="764" spans="1:11">
      <c r="A764" s="1" t="s">
        <v>12</v>
      </c>
      <c r="B764" s="1">
        <v>2082</v>
      </c>
      <c r="C764" s="10">
        <v>5326.7422</v>
      </c>
      <c r="D764" s="11">
        <v>30428.9529464735</v>
      </c>
      <c r="E764" s="18">
        <v>4537.62</v>
      </c>
      <c r="F764" s="11">
        <v>7310.3632</v>
      </c>
      <c r="G764" s="11">
        <v>31683.8306662837</v>
      </c>
      <c r="H764" s="17">
        <v>4271.45</v>
      </c>
      <c r="I764" s="11">
        <v>4628.155</v>
      </c>
      <c r="J764" s="11">
        <v>48392.2917274501</v>
      </c>
      <c r="K764" s="17">
        <v>4662.36</v>
      </c>
    </row>
    <row r="765" spans="1:11">
      <c r="A765" s="1" t="s">
        <v>12</v>
      </c>
      <c r="B765" s="1">
        <v>2083</v>
      </c>
      <c r="C765" s="10">
        <v>5317.903</v>
      </c>
      <c r="D765" s="11">
        <v>30384.8558876046</v>
      </c>
      <c r="E765" s="18">
        <v>4537.62</v>
      </c>
      <c r="F765" s="11">
        <v>7375.1374</v>
      </c>
      <c r="G765" s="11">
        <v>31841.0645720505</v>
      </c>
      <c r="H765" s="17">
        <v>4271.45</v>
      </c>
      <c r="I765" s="11">
        <v>4607.0498</v>
      </c>
      <c r="J765" s="11">
        <v>48514.5745846041</v>
      </c>
      <c r="K765" s="17">
        <v>4662.36</v>
      </c>
    </row>
    <row r="766" spans="1:11">
      <c r="A766" s="1" t="s">
        <v>12</v>
      </c>
      <c r="B766" s="1">
        <v>2084</v>
      </c>
      <c r="C766" s="10">
        <v>5309.7195</v>
      </c>
      <c r="D766" s="11">
        <v>30332.2358643297</v>
      </c>
      <c r="E766" s="18">
        <v>4537.62</v>
      </c>
      <c r="F766" s="11">
        <v>7441.6938</v>
      </c>
      <c r="G766" s="11">
        <v>31992.7078010636</v>
      </c>
      <c r="H766" s="17">
        <v>4271.45</v>
      </c>
      <c r="I766" s="11">
        <v>4586.462</v>
      </c>
      <c r="J766" s="11">
        <v>48610.5130039456</v>
      </c>
      <c r="K766" s="17">
        <v>4662.36</v>
      </c>
    </row>
    <row r="767" spans="1:11">
      <c r="A767" s="1" t="s">
        <v>12</v>
      </c>
      <c r="B767" s="1">
        <v>2085</v>
      </c>
      <c r="C767" s="10">
        <v>5303.216</v>
      </c>
      <c r="D767" s="11">
        <v>30282.1209098459</v>
      </c>
      <c r="E767" s="18">
        <v>4537.62</v>
      </c>
      <c r="F767" s="11">
        <v>7510.2424</v>
      </c>
      <c r="G767" s="11">
        <v>32142.2199237734</v>
      </c>
      <c r="H767" s="17">
        <v>4271.45</v>
      </c>
      <c r="I767" s="11">
        <v>4567.3434</v>
      </c>
      <c r="J767" s="11">
        <v>48727.4009095095</v>
      </c>
      <c r="K767" s="17">
        <v>4662.36</v>
      </c>
    </row>
    <row r="768" spans="1:11">
      <c r="A768" s="1" t="s">
        <v>12</v>
      </c>
      <c r="B768" s="1">
        <v>2086</v>
      </c>
      <c r="C768" s="10">
        <v>5299.1515</v>
      </c>
      <c r="D768" s="11">
        <v>30242.4314585259</v>
      </c>
      <c r="E768" s="18">
        <v>4537.62</v>
      </c>
      <c r="F768" s="11">
        <v>7580.9021</v>
      </c>
      <c r="G768" s="11">
        <v>32292.7316388813</v>
      </c>
      <c r="H768" s="17">
        <v>4271.45</v>
      </c>
      <c r="I768" s="11">
        <v>4550.4227</v>
      </c>
      <c r="J768" s="11">
        <v>48900.5766541685</v>
      </c>
      <c r="K768" s="17">
        <v>4662.36</v>
      </c>
    </row>
    <row r="769" spans="1:11">
      <c r="A769" s="1" t="s">
        <v>12</v>
      </c>
      <c r="B769" s="1">
        <v>2087</v>
      </c>
      <c r="C769" s="10">
        <v>5297.3029</v>
      </c>
      <c r="D769" s="11">
        <v>30208.6575494432</v>
      </c>
      <c r="E769" s="18">
        <v>4537.62</v>
      </c>
      <c r="F769" s="11">
        <v>7653.5437</v>
      </c>
      <c r="G769" s="11">
        <v>32446.0581580928</v>
      </c>
      <c r="H769" s="17">
        <v>4271.45</v>
      </c>
      <c r="I769" s="11">
        <v>4535.5784</v>
      </c>
      <c r="J769" s="11">
        <v>49117.5563061476</v>
      </c>
      <c r="K769" s="17">
        <v>4662.36</v>
      </c>
    </row>
    <row r="770" spans="1:11">
      <c r="A770" s="1" t="s">
        <v>12</v>
      </c>
      <c r="B770" s="1">
        <v>2088</v>
      </c>
      <c r="C770" s="10">
        <v>5297.1755</v>
      </c>
      <c r="D770" s="11">
        <v>30173.1816228466</v>
      </c>
      <c r="E770" s="18">
        <v>4537.62</v>
      </c>
      <c r="F770" s="11">
        <v>7727.96</v>
      </c>
      <c r="G770" s="11">
        <v>32603.6858213641</v>
      </c>
      <c r="H770" s="17">
        <v>4271.45</v>
      </c>
      <c r="I770" s="11">
        <v>4522.457</v>
      </c>
      <c r="J770" s="11">
        <v>49353.9003625102</v>
      </c>
      <c r="K770" s="17">
        <v>4662.36</v>
      </c>
    </row>
    <row r="771" spans="1:11">
      <c r="A771" s="1" t="s">
        <v>12</v>
      </c>
      <c r="B771" s="1">
        <v>2089</v>
      </c>
      <c r="C771" s="10">
        <v>5298.2388</v>
      </c>
      <c r="D771" s="11">
        <v>30128.3861189851</v>
      </c>
      <c r="E771" s="18">
        <v>4537.62</v>
      </c>
      <c r="F771" s="11">
        <v>7803.9199</v>
      </c>
      <c r="G771" s="11">
        <v>32767.1009686516</v>
      </c>
      <c r="H771" s="17">
        <v>4271.45</v>
      </c>
      <c r="I771" s="11">
        <v>4510.6791</v>
      </c>
      <c r="J771" s="11">
        <v>49585.1693203195</v>
      </c>
      <c r="K771" s="17">
        <v>4662.36</v>
      </c>
    </row>
    <row r="772" spans="1:11">
      <c r="A772" s="1" t="s">
        <v>12</v>
      </c>
      <c r="B772" s="1">
        <v>2090</v>
      </c>
      <c r="C772" s="10">
        <v>5299.926</v>
      </c>
      <c r="D772" s="11">
        <v>30066.6534781076</v>
      </c>
      <c r="E772" s="18">
        <v>4537.62</v>
      </c>
      <c r="F772" s="11">
        <v>7881.1677</v>
      </c>
      <c r="G772" s="11">
        <v>32937.7899399119</v>
      </c>
      <c r="H772" s="17">
        <v>4271.45</v>
      </c>
      <c r="I772" s="11">
        <v>4499.8392</v>
      </c>
      <c r="J772" s="11">
        <v>49786.9236766386</v>
      </c>
      <c r="K772" s="17">
        <v>4662.36</v>
      </c>
    </row>
    <row r="773" spans="1:11">
      <c r="A773" s="1" t="s">
        <v>12</v>
      </c>
      <c r="B773" s="1">
        <v>2091</v>
      </c>
      <c r="C773" s="10">
        <v>5301.7342</v>
      </c>
      <c r="D773" s="11">
        <v>29981.7267096566</v>
      </c>
      <c r="E773" s="18">
        <v>4537.62</v>
      </c>
      <c r="F773" s="11">
        <v>7959.4534</v>
      </c>
      <c r="G773" s="11">
        <v>33117.2275812273</v>
      </c>
      <c r="H773" s="17">
        <v>4271.45</v>
      </c>
      <c r="I773" s="11">
        <v>4489.5657</v>
      </c>
      <c r="J773" s="11">
        <v>49942.3014655784</v>
      </c>
      <c r="K773" s="17">
        <v>4662.36</v>
      </c>
    </row>
    <row r="774" spans="1:11">
      <c r="A774" s="1" t="s">
        <v>12</v>
      </c>
      <c r="B774" s="1">
        <v>2092</v>
      </c>
      <c r="C774" s="10">
        <v>5303.5406</v>
      </c>
      <c r="D774" s="11">
        <v>29872.791099849</v>
      </c>
      <c r="E774" s="18">
        <v>4537.62</v>
      </c>
      <c r="F774" s="11">
        <v>8038.631</v>
      </c>
      <c r="G774" s="11">
        <v>33306.8427631858</v>
      </c>
      <c r="H774" s="17">
        <v>4271.45</v>
      </c>
      <c r="I774" s="11">
        <v>4479.7134</v>
      </c>
      <c r="J774" s="11">
        <v>50064.7508694393</v>
      </c>
      <c r="K774" s="17">
        <v>4662.36</v>
      </c>
    </row>
    <row r="775" spans="1:11">
      <c r="A775" s="1" t="s">
        <v>12</v>
      </c>
      <c r="B775" s="1">
        <v>2093</v>
      </c>
      <c r="C775" s="10">
        <v>5305.3281</v>
      </c>
      <c r="D775" s="11">
        <v>29740.3925040954</v>
      </c>
      <c r="E775" s="18">
        <v>4537.62</v>
      </c>
      <c r="F775" s="11">
        <v>8118.5892</v>
      </c>
      <c r="G775" s="11">
        <v>33508.0528625009</v>
      </c>
      <c r="H775" s="17">
        <v>4271.45</v>
      </c>
      <c r="I775" s="11">
        <v>4470.2006</v>
      </c>
      <c r="J775" s="11">
        <v>50175.2976075694</v>
      </c>
      <c r="K775" s="17">
        <v>4662.36</v>
      </c>
    </row>
    <row r="776" spans="1:11">
      <c r="A776" s="1" t="s">
        <v>12</v>
      </c>
      <c r="B776" s="1">
        <v>2094</v>
      </c>
      <c r="C776" s="10">
        <v>5307.0888</v>
      </c>
      <c r="D776" s="11">
        <v>29585.0767778062</v>
      </c>
      <c r="E776" s="18">
        <v>4537.62</v>
      </c>
      <c r="F776" s="11">
        <v>8199.2242</v>
      </c>
      <c r="G776" s="11">
        <v>33722.2752558868</v>
      </c>
      <c r="H776" s="17">
        <v>4271.45</v>
      </c>
      <c r="I776" s="11">
        <v>4460.9515</v>
      </c>
      <c r="J776" s="11">
        <v>50294.9673993169</v>
      </c>
      <c r="K776" s="17">
        <v>4662.36</v>
      </c>
    </row>
    <row r="777" spans="1:11">
      <c r="A777" s="1" t="s">
        <v>12</v>
      </c>
      <c r="B777" s="1">
        <v>2095</v>
      </c>
      <c r="C777" s="10">
        <v>5308.8243</v>
      </c>
      <c r="D777" s="11">
        <v>29407.389776392</v>
      </c>
      <c r="E777" s="18">
        <v>4537.62</v>
      </c>
      <c r="F777" s="11">
        <v>8280.4399</v>
      </c>
      <c r="G777" s="11">
        <v>33950.9273200571</v>
      </c>
      <c r="H777" s="17">
        <v>4271.45</v>
      </c>
      <c r="I777" s="11">
        <v>4451.8964</v>
      </c>
      <c r="J777" s="11">
        <v>50444.7859640297</v>
      </c>
      <c r="K777" s="17">
        <v>4662.36</v>
      </c>
    </row>
    <row r="778" spans="1:11">
      <c r="A778" s="1" t="s">
        <v>12</v>
      </c>
      <c r="B778" s="1">
        <v>2096</v>
      </c>
      <c r="C778" s="10">
        <v>5310.5455</v>
      </c>
      <c r="D778" s="11">
        <v>29207.8773552634</v>
      </c>
      <c r="E778" s="18">
        <v>4537.62</v>
      </c>
      <c r="F778" s="11">
        <v>8362.1483</v>
      </c>
      <c r="G778" s="11">
        <v>34195.4264317258</v>
      </c>
      <c r="H778" s="17">
        <v>4271.45</v>
      </c>
      <c r="I778" s="11">
        <v>4442.9717</v>
      </c>
      <c r="J778" s="11">
        <v>50645.7790210558</v>
      </c>
      <c r="K778" s="17">
        <v>4662.36</v>
      </c>
    </row>
    <row r="779" spans="1:11">
      <c r="A779" s="1" t="s">
        <v>12</v>
      </c>
      <c r="B779" s="1">
        <v>2097</v>
      </c>
      <c r="C779" s="10">
        <v>5312.2722</v>
      </c>
      <c r="D779" s="11">
        <v>28987.0853698309</v>
      </c>
      <c r="E779" s="18">
        <v>4537.62</v>
      </c>
      <c r="F779" s="11">
        <v>8444.2693</v>
      </c>
      <c r="G779" s="11">
        <v>34457.1899676068</v>
      </c>
      <c r="H779" s="17">
        <v>4271.45</v>
      </c>
      <c r="I779" s="11">
        <v>4434.1196</v>
      </c>
      <c r="J779" s="11">
        <v>50918.9722897435</v>
      </c>
      <c r="K779" s="17">
        <v>4662.36</v>
      </c>
    </row>
    <row r="780" spans="1:11">
      <c r="A780" s="1" t="s">
        <v>12</v>
      </c>
      <c r="B780" s="1">
        <v>2098</v>
      </c>
      <c r="C780" s="10">
        <v>5314.033</v>
      </c>
      <c r="D780" s="11">
        <v>28745.559675505</v>
      </c>
      <c r="E780" s="18">
        <v>4537.62</v>
      </c>
      <c r="F780" s="11">
        <v>8526.7308</v>
      </c>
      <c r="G780" s="11">
        <v>34737.6353044139</v>
      </c>
      <c r="H780" s="17">
        <v>4271.45</v>
      </c>
      <c r="I780" s="11">
        <v>4425.2882</v>
      </c>
      <c r="J780" s="11">
        <v>51285.3914894407</v>
      </c>
      <c r="K780" s="17">
        <v>4662.36</v>
      </c>
    </row>
    <row r="781" spans="1:11">
      <c r="A781" s="1" t="s">
        <v>12</v>
      </c>
      <c r="B781" s="1">
        <v>2099</v>
      </c>
      <c r="C781" s="10">
        <v>5315.8646</v>
      </c>
      <c r="D781" s="11">
        <v>28483.8461276962</v>
      </c>
      <c r="E781" s="18">
        <v>4537.62</v>
      </c>
      <c r="F781" s="11">
        <v>8609.4687</v>
      </c>
      <c r="G781" s="11">
        <v>35038.179818861</v>
      </c>
      <c r="H781" s="17">
        <v>4271.45</v>
      </c>
      <c r="I781" s="11">
        <v>4416.4311</v>
      </c>
      <c r="J781" s="11">
        <v>51766.0623394955</v>
      </c>
      <c r="K781" s="17">
        <v>4662.36</v>
      </c>
    </row>
    <row r="782" spans="1:11">
      <c r="A782" s="1" t="s">
        <v>12</v>
      </c>
      <c r="B782" s="1">
        <v>2100</v>
      </c>
      <c r="C782" s="10">
        <v>5317.8114</v>
      </c>
      <c r="D782" s="11">
        <v>28202.4905818151</v>
      </c>
      <c r="E782" s="18">
        <v>4537.62</v>
      </c>
      <c r="F782" s="11">
        <v>8692.4267</v>
      </c>
      <c r="G782" s="11">
        <v>35360.240887662</v>
      </c>
      <c r="H782" s="17">
        <v>4271.45</v>
      </c>
      <c r="I782" s="11">
        <v>4407.5071</v>
      </c>
      <c r="J782" s="11">
        <v>52382.0105592559</v>
      </c>
      <c r="K782" s="17">
        <v>4662.36</v>
      </c>
    </row>
    <row r="783" spans="1:11">
      <c r="A783" s="1" t="s">
        <v>13</v>
      </c>
      <c r="B783" s="1">
        <v>2023</v>
      </c>
      <c r="C783" s="10">
        <v>963.7616</v>
      </c>
      <c r="D783" s="11">
        <v>5158.68033796291</v>
      </c>
      <c r="E783" s="16">
        <v>928.43</v>
      </c>
      <c r="F783" s="11">
        <v>982.8826</v>
      </c>
      <c r="G783" s="11">
        <v>5078.68997206299</v>
      </c>
      <c r="H783" s="17">
        <v>901.63</v>
      </c>
      <c r="I783" s="11">
        <v>965.1748</v>
      </c>
      <c r="J783" s="11">
        <v>5217.54538354504</v>
      </c>
      <c r="K783" s="17">
        <v>929.79</v>
      </c>
    </row>
    <row r="784" spans="1:11">
      <c r="A784" s="1" t="s">
        <v>13</v>
      </c>
      <c r="B784" s="1">
        <v>2024</v>
      </c>
      <c r="C784" s="10">
        <v>969.0301</v>
      </c>
      <c r="D784" s="11">
        <v>5417.15918608698</v>
      </c>
      <c r="E784" s="3">
        <f>(E783+E785)/2</f>
        <v>968.455</v>
      </c>
      <c r="F784" s="11">
        <v>990.3014</v>
      </c>
      <c r="G784" s="11">
        <v>5345.3491574964</v>
      </c>
      <c r="H784" s="4">
        <f>(H783+H785)/2</f>
        <v>932.62</v>
      </c>
      <c r="I784" s="11">
        <v>970.7561</v>
      </c>
      <c r="J784" s="11">
        <v>5453.64436709118</v>
      </c>
      <c r="K784" s="4">
        <f>(K783+K785)/2</f>
        <v>971.685</v>
      </c>
    </row>
    <row r="785" spans="1:11">
      <c r="A785" s="1" t="s">
        <v>13</v>
      </c>
      <c r="B785" s="1">
        <v>2025</v>
      </c>
      <c r="C785" s="10">
        <v>974.0301</v>
      </c>
      <c r="D785" s="11">
        <v>5686.82391313823</v>
      </c>
      <c r="E785" s="16">
        <v>1008.48</v>
      </c>
      <c r="F785" s="11">
        <v>997.3602</v>
      </c>
      <c r="G785" s="11">
        <v>5620.45231186997</v>
      </c>
      <c r="H785" s="17">
        <v>963.61</v>
      </c>
      <c r="I785" s="11">
        <v>976.1018</v>
      </c>
      <c r="J785" s="11">
        <v>5706.27550177182</v>
      </c>
      <c r="K785" s="17">
        <v>1013.58</v>
      </c>
    </row>
    <row r="786" spans="1:11">
      <c r="A786" s="1" t="s">
        <v>13</v>
      </c>
      <c r="B786" s="1">
        <v>2026</v>
      </c>
      <c r="C786" s="10">
        <v>978.8213</v>
      </c>
      <c r="D786" s="11">
        <v>5965.25286289315</v>
      </c>
      <c r="E786" s="3">
        <f t="shared" ref="E786:E789" si="148">E785*(1+$L$785)</f>
        <v>1008.48</v>
      </c>
      <c r="F786" s="11">
        <v>1004.1261</v>
      </c>
      <c r="G786" s="11">
        <v>5900.42691905752</v>
      </c>
      <c r="H786" s="4">
        <f t="shared" ref="H786:H789" si="149">H785*(1+M$785)</f>
        <v>963.61</v>
      </c>
      <c r="I786" s="11">
        <v>981.2705</v>
      </c>
      <c r="J786" s="11">
        <v>5976.30221662345</v>
      </c>
      <c r="K786" s="4">
        <f t="shared" ref="K786:K789" si="150">K785*(1+N$785)</f>
        <v>1013.58</v>
      </c>
    </row>
    <row r="787" spans="1:11">
      <c r="A787" s="1" t="s">
        <v>13</v>
      </c>
      <c r="B787" s="1">
        <v>2027</v>
      </c>
      <c r="C787" s="10">
        <v>983.4426</v>
      </c>
      <c r="D787" s="11">
        <v>6243.33503486373</v>
      </c>
      <c r="E787" s="3">
        <f t="shared" si="148"/>
        <v>1008.48</v>
      </c>
      <c r="F787" s="11">
        <v>1010.6534</v>
      </c>
      <c r="G787" s="11">
        <v>6176.89289981968</v>
      </c>
      <c r="H787" s="4">
        <f t="shared" si="149"/>
        <v>963.61</v>
      </c>
      <c r="I787" s="11">
        <v>986.2939</v>
      </c>
      <c r="J787" s="11">
        <v>6253.19816992809</v>
      </c>
      <c r="K787" s="4">
        <f t="shared" si="150"/>
        <v>1013.58</v>
      </c>
    </row>
    <row r="788" spans="1:11">
      <c r="A788" s="1" t="s">
        <v>13</v>
      </c>
      <c r="B788" s="1">
        <v>2028</v>
      </c>
      <c r="C788" s="10">
        <v>987.9273</v>
      </c>
      <c r="D788" s="11">
        <v>6510.28709249581</v>
      </c>
      <c r="E788" s="3">
        <f t="shared" si="148"/>
        <v>1008.48</v>
      </c>
      <c r="F788" s="11">
        <v>1016.9934</v>
      </c>
      <c r="G788" s="11">
        <v>6440.26828413877</v>
      </c>
      <c r="H788" s="4">
        <f t="shared" si="149"/>
        <v>963.61</v>
      </c>
      <c r="I788" s="11">
        <v>991.1963</v>
      </c>
      <c r="J788" s="11">
        <v>6523.58957727913</v>
      </c>
      <c r="K788" s="4">
        <f t="shared" si="150"/>
        <v>1013.58</v>
      </c>
    </row>
    <row r="789" spans="1:11">
      <c r="A789" s="1" t="s">
        <v>13</v>
      </c>
      <c r="B789" s="1">
        <v>2029</v>
      </c>
      <c r="C789" s="10">
        <v>992.3084</v>
      </c>
      <c r="D789" s="11">
        <v>6755.32569923521</v>
      </c>
      <c r="E789" s="3">
        <f t="shared" si="148"/>
        <v>1008.48</v>
      </c>
      <c r="F789" s="11">
        <v>1023.1979</v>
      </c>
      <c r="G789" s="11">
        <v>6680.9711019971</v>
      </c>
      <c r="H789" s="4">
        <f t="shared" si="149"/>
        <v>963.61</v>
      </c>
      <c r="I789" s="11">
        <v>996.0016</v>
      </c>
      <c r="J789" s="11">
        <v>6774.10265426996</v>
      </c>
      <c r="K789" s="4">
        <f t="shared" si="150"/>
        <v>1013.58</v>
      </c>
    </row>
    <row r="790" spans="1:11">
      <c r="A790" s="1" t="s">
        <v>13</v>
      </c>
      <c r="B790" s="1">
        <v>2030</v>
      </c>
      <c r="C790" s="10">
        <v>996.6181</v>
      </c>
      <c r="D790" s="11">
        <v>6967.66751852779</v>
      </c>
      <c r="E790" s="18">
        <v>1086.52</v>
      </c>
      <c r="F790" s="11">
        <v>1029.3186</v>
      </c>
      <c r="G790" s="11">
        <v>6889.41938337699</v>
      </c>
      <c r="H790" s="17">
        <v>1025.9</v>
      </c>
      <c r="I790" s="11">
        <v>1000.733</v>
      </c>
      <c r="J790" s="11">
        <v>6991.36361649398</v>
      </c>
      <c r="K790" s="17">
        <v>1095.65</v>
      </c>
    </row>
    <row r="791" spans="1:11">
      <c r="A791" s="1" t="s">
        <v>13</v>
      </c>
      <c r="B791" s="1">
        <v>2031</v>
      </c>
      <c r="C791" s="10">
        <v>1000.8846</v>
      </c>
      <c r="D791" s="11">
        <v>7140.66181505171</v>
      </c>
      <c r="E791" s="3">
        <f t="shared" ref="E791:E794" si="151">E790*(1+$L$790)</f>
        <v>1086.52</v>
      </c>
      <c r="F791" s="11">
        <v>1035.4053</v>
      </c>
      <c r="G791" s="11">
        <v>7059.97948237222</v>
      </c>
      <c r="H791" s="4">
        <f t="shared" ref="H791:H794" si="152">H790*(1+M$790)</f>
        <v>1025.9</v>
      </c>
      <c r="I791" s="11">
        <v>1005.4117</v>
      </c>
      <c r="J791" s="11">
        <v>7166.92497410309</v>
      </c>
      <c r="K791" s="4">
        <f t="shared" ref="K791:K794" si="153">K790*(1+N$790)</f>
        <v>1095.65</v>
      </c>
    </row>
    <row r="792" spans="1:11">
      <c r="A792" s="1" t="s">
        <v>13</v>
      </c>
      <c r="B792" s="1">
        <v>2032</v>
      </c>
      <c r="C792" s="10">
        <v>1005.12</v>
      </c>
      <c r="D792" s="11">
        <v>7284.18825841449</v>
      </c>
      <c r="E792" s="3">
        <f t="shared" si="151"/>
        <v>1086.52</v>
      </c>
      <c r="F792" s="11">
        <v>1041.4975</v>
      </c>
      <c r="G792" s="11">
        <v>7202.81104952239</v>
      </c>
      <c r="H792" s="4">
        <f t="shared" si="152"/>
        <v>1025.9</v>
      </c>
      <c r="I792" s="11">
        <v>1010.0513</v>
      </c>
      <c r="J792" s="11">
        <v>7312.04441548325</v>
      </c>
      <c r="K792" s="4">
        <f t="shared" si="153"/>
        <v>1095.65</v>
      </c>
    </row>
    <row r="793" spans="1:11">
      <c r="A793" s="1" t="s">
        <v>13</v>
      </c>
      <c r="B793" s="1">
        <v>2033</v>
      </c>
      <c r="C793" s="10">
        <v>1009.3325</v>
      </c>
      <c r="D793" s="11">
        <v>7412.25911945599</v>
      </c>
      <c r="E793" s="3">
        <f t="shared" si="151"/>
        <v>1086.52</v>
      </c>
      <c r="F793" s="11">
        <v>1047.6328</v>
      </c>
      <c r="G793" s="11">
        <v>7332.02205947856</v>
      </c>
      <c r="H793" s="4">
        <f t="shared" si="152"/>
        <v>1025.9</v>
      </c>
      <c r="I793" s="11">
        <v>1014.6636</v>
      </c>
      <c r="J793" s="11">
        <v>7442.90592357893</v>
      </c>
      <c r="K793" s="4">
        <f t="shared" si="153"/>
        <v>1095.65</v>
      </c>
    </row>
    <row r="794" spans="1:11">
      <c r="A794" s="1" t="s">
        <v>13</v>
      </c>
      <c r="B794" s="1">
        <v>2034</v>
      </c>
      <c r="C794" s="10">
        <v>1013.5302</v>
      </c>
      <c r="D794" s="11">
        <v>7538.88666901605</v>
      </c>
      <c r="E794" s="3">
        <f t="shared" si="151"/>
        <v>1086.52</v>
      </c>
      <c r="F794" s="11">
        <v>1053.8487</v>
      </c>
      <c r="G794" s="11">
        <v>7461.72048689181</v>
      </c>
      <c r="H794" s="4">
        <f t="shared" si="152"/>
        <v>1025.9</v>
      </c>
      <c r="I794" s="11">
        <v>1019.2604</v>
      </c>
      <c r="J794" s="11">
        <v>7575.69348133458</v>
      </c>
      <c r="K794" s="4">
        <f t="shared" si="153"/>
        <v>1095.65</v>
      </c>
    </row>
    <row r="795" spans="1:11">
      <c r="A795" s="1" t="s">
        <v>13</v>
      </c>
      <c r="B795" s="1">
        <v>2035</v>
      </c>
      <c r="C795" s="10">
        <v>1017.7213</v>
      </c>
      <c r="D795" s="11">
        <v>7678.08317793453</v>
      </c>
      <c r="E795" s="18">
        <v>1135.4</v>
      </c>
      <c r="F795" s="11">
        <v>1060.1833</v>
      </c>
      <c r="G795" s="11">
        <v>7606.01430641319</v>
      </c>
      <c r="H795" s="17">
        <v>1068.66</v>
      </c>
      <c r="I795" s="11">
        <v>1023.8535</v>
      </c>
      <c r="J795" s="11">
        <v>7726.59107169468</v>
      </c>
      <c r="K795" s="17">
        <v>1149.1</v>
      </c>
    </row>
    <row r="796" spans="1:11">
      <c r="A796" s="1" t="s">
        <v>13</v>
      </c>
      <c r="B796" s="1">
        <v>2036</v>
      </c>
      <c r="C796" s="10">
        <v>1021.9085</v>
      </c>
      <c r="D796" s="11">
        <v>7840.14210454154</v>
      </c>
      <c r="E796" s="3">
        <f t="shared" ref="E796:E799" si="154">E795*(1+$L$795)</f>
        <v>1135.4</v>
      </c>
      <c r="F796" s="11">
        <v>1066.6629</v>
      </c>
      <c r="G796" s="11">
        <v>7775.0067970699</v>
      </c>
      <c r="H796" s="4">
        <f t="shared" ref="H796:H799" si="155">H795*(1+M$795)</f>
        <v>1068.66</v>
      </c>
      <c r="I796" s="11">
        <v>1028.4483</v>
      </c>
      <c r="J796" s="11">
        <v>7907.56066998803</v>
      </c>
      <c r="K796" s="4">
        <f t="shared" ref="K796:K799" si="156">K795*(1+N$795)</f>
        <v>1149.1</v>
      </c>
    </row>
    <row r="797" spans="1:11">
      <c r="A797" s="1" t="s">
        <v>13</v>
      </c>
      <c r="B797" s="1">
        <v>2037</v>
      </c>
      <c r="C797" s="10">
        <v>1026.0726</v>
      </c>
      <c r="D797" s="11">
        <v>8020.48165712824</v>
      </c>
      <c r="E797" s="3">
        <f t="shared" si="154"/>
        <v>1135.4</v>
      </c>
      <c r="F797" s="11">
        <v>1073.2645</v>
      </c>
      <c r="G797" s="11">
        <v>7962.78245539367</v>
      </c>
      <c r="H797" s="4">
        <f t="shared" si="155"/>
        <v>1068.66</v>
      </c>
      <c r="I797" s="11">
        <v>1033.0247</v>
      </c>
      <c r="J797" s="11">
        <v>8113.67622108079</v>
      </c>
      <c r="K797" s="4">
        <f t="shared" si="156"/>
        <v>1149.1</v>
      </c>
    </row>
    <row r="798" spans="1:11">
      <c r="A798" s="1" t="s">
        <v>13</v>
      </c>
      <c r="B798" s="1">
        <v>2038</v>
      </c>
      <c r="C798" s="10">
        <v>1030.189</v>
      </c>
      <c r="D798" s="11">
        <v>8210.80123147605</v>
      </c>
      <c r="E798" s="3">
        <f t="shared" si="154"/>
        <v>1135.4</v>
      </c>
      <c r="F798" s="11">
        <v>1079.9529</v>
      </c>
      <c r="G798" s="11">
        <v>8159.42108229237</v>
      </c>
      <c r="H798" s="4">
        <f t="shared" si="155"/>
        <v>1068.66</v>
      </c>
      <c r="I798" s="11">
        <v>1037.5564</v>
      </c>
      <c r="J798" s="11">
        <v>8335.78966222346</v>
      </c>
      <c r="K798" s="4">
        <f t="shared" si="156"/>
        <v>1149.1</v>
      </c>
    </row>
    <row r="799" spans="1:11">
      <c r="A799" s="1" t="s">
        <v>13</v>
      </c>
      <c r="B799" s="1">
        <v>2039</v>
      </c>
      <c r="C799" s="10">
        <v>1034.2331</v>
      </c>
      <c r="D799" s="11">
        <v>8402.8002233664</v>
      </c>
      <c r="E799" s="3">
        <f t="shared" si="154"/>
        <v>1135.4</v>
      </c>
      <c r="F799" s="11">
        <v>1086.6926</v>
      </c>
      <c r="G799" s="11">
        <v>8355.00247867385</v>
      </c>
      <c r="H799" s="4">
        <f t="shared" si="155"/>
        <v>1068.66</v>
      </c>
      <c r="I799" s="11">
        <v>1042.0168</v>
      </c>
      <c r="J799" s="11">
        <v>8564.75293066656</v>
      </c>
      <c r="K799" s="4">
        <f t="shared" si="156"/>
        <v>1149.1</v>
      </c>
    </row>
    <row r="800" spans="1:11">
      <c r="A800" s="1" t="s">
        <v>13</v>
      </c>
      <c r="B800" s="1">
        <v>2040</v>
      </c>
      <c r="C800" s="10">
        <v>1038.18</v>
      </c>
      <c r="D800" s="11">
        <v>8588.17802858069</v>
      </c>
      <c r="E800" s="18">
        <v>1186.7</v>
      </c>
      <c r="F800" s="11">
        <v>1093.4482</v>
      </c>
      <c r="G800" s="11">
        <v>8539.60644544597</v>
      </c>
      <c r="H800" s="17">
        <v>1109.11</v>
      </c>
      <c r="I800" s="11">
        <v>1046.3793</v>
      </c>
      <c r="J800" s="11">
        <v>8791.41796366057</v>
      </c>
      <c r="K800" s="17">
        <v>1204.73</v>
      </c>
    </row>
    <row r="801" spans="1:11">
      <c r="A801" s="1" t="s">
        <v>13</v>
      </c>
      <c r="B801" s="1">
        <v>2041</v>
      </c>
      <c r="C801" s="10">
        <v>1042.0027</v>
      </c>
      <c r="D801" s="11">
        <v>8760.58124373333</v>
      </c>
      <c r="E801" s="3">
        <f t="shared" ref="E801:E804" si="157">E800*(1+$L$800)</f>
        <v>1186.7</v>
      </c>
      <c r="F801" s="11">
        <v>1100.1838</v>
      </c>
      <c r="G801" s="11">
        <v>8705.88630070717</v>
      </c>
      <c r="H801" s="4">
        <f t="shared" ref="H801:H804" si="158">H800*(1+M$800)</f>
        <v>1109.11</v>
      </c>
      <c r="I801" s="11">
        <v>1050.6155</v>
      </c>
      <c r="J801" s="11">
        <v>9008.74290449317</v>
      </c>
      <c r="K801" s="4">
        <f t="shared" ref="K801:K804" si="159">K800*(1+N$800)</f>
        <v>1204.73</v>
      </c>
    </row>
    <row r="802" spans="1:11">
      <c r="A802" s="1" t="s">
        <v>13</v>
      </c>
      <c r="B802" s="1">
        <v>2042</v>
      </c>
      <c r="C802" s="10">
        <v>1045.6653</v>
      </c>
      <c r="D802" s="11">
        <v>8921.44526877057</v>
      </c>
      <c r="E802" s="3">
        <f t="shared" si="157"/>
        <v>1186.7</v>
      </c>
      <c r="F802" s="11">
        <v>1106.8636</v>
      </c>
      <c r="G802" s="11">
        <v>8856.78943131819</v>
      </c>
      <c r="H802" s="4">
        <f t="shared" si="158"/>
        <v>1109.11</v>
      </c>
      <c r="I802" s="11">
        <v>1054.69</v>
      </c>
      <c r="J802" s="11">
        <v>9218.1107206007</v>
      </c>
      <c r="K802" s="4">
        <f t="shared" si="159"/>
        <v>1204.73</v>
      </c>
    </row>
    <row r="803" spans="1:11">
      <c r="A803" s="1" t="s">
        <v>13</v>
      </c>
      <c r="B803" s="1">
        <v>2043</v>
      </c>
      <c r="C803" s="10">
        <v>1049.1295</v>
      </c>
      <c r="D803" s="11">
        <v>9074.15270447164</v>
      </c>
      <c r="E803" s="3">
        <f t="shared" si="157"/>
        <v>1186.7</v>
      </c>
      <c r="F803" s="11">
        <v>1113.4511</v>
      </c>
      <c r="G803" s="11">
        <v>8997.83674133033</v>
      </c>
      <c r="H803" s="4">
        <f t="shared" si="158"/>
        <v>1109.11</v>
      </c>
      <c r="I803" s="11">
        <v>1058.5654</v>
      </c>
      <c r="J803" s="11">
        <v>9423.01058545669</v>
      </c>
      <c r="K803" s="4">
        <f t="shared" si="159"/>
        <v>1204.73</v>
      </c>
    </row>
    <row r="804" spans="1:11">
      <c r="A804" s="1" t="s">
        <v>13</v>
      </c>
      <c r="B804" s="1">
        <v>2044</v>
      </c>
      <c r="C804" s="10">
        <v>1052.3568</v>
      </c>
      <c r="D804" s="11">
        <v>9222.08615161576</v>
      </c>
      <c r="E804" s="3">
        <f t="shared" si="157"/>
        <v>1186.7</v>
      </c>
      <c r="F804" s="11">
        <v>1119.9093</v>
      </c>
      <c r="G804" s="11">
        <v>9134.54913479489</v>
      </c>
      <c r="H804" s="4">
        <f t="shared" si="158"/>
        <v>1109.11</v>
      </c>
      <c r="I804" s="11">
        <v>1062.2042</v>
      </c>
      <c r="J804" s="11">
        <v>9626.93167253464</v>
      </c>
      <c r="K804" s="4">
        <f t="shared" si="159"/>
        <v>1204.73</v>
      </c>
    </row>
    <row r="805" spans="1:11">
      <c r="A805" s="1" t="s">
        <v>13</v>
      </c>
      <c r="B805" s="1">
        <v>2045</v>
      </c>
      <c r="C805" s="10">
        <v>1055.3086</v>
      </c>
      <c r="D805" s="11">
        <v>9368.62821098216</v>
      </c>
      <c r="E805" s="18">
        <v>1208.06</v>
      </c>
      <c r="F805" s="11">
        <v>1126.2008</v>
      </c>
      <c r="G805" s="11">
        <v>9272.44751576318</v>
      </c>
      <c r="H805" s="17">
        <v>1133.49</v>
      </c>
      <c r="I805" s="11">
        <v>1065.5687</v>
      </c>
      <c r="J805" s="11">
        <v>9833.36315530808</v>
      </c>
      <c r="K805" s="17">
        <v>1234.41</v>
      </c>
    </row>
    <row r="806" spans="1:11">
      <c r="A806" s="1" t="s">
        <v>13</v>
      </c>
      <c r="B806" s="1">
        <v>2046</v>
      </c>
      <c r="C806" s="10">
        <v>1057.9569</v>
      </c>
      <c r="D806" s="11">
        <v>9516.21272761132</v>
      </c>
      <c r="E806" s="3">
        <f t="shared" ref="E806:E809" si="160">E805*(1+$L$805)</f>
        <v>1208.06</v>
      </c>
      <c r="F806" s="11">
        <v>1132.2944</v>
      </c>
      <c r="G806" s="11">
        <v>9415.14607579875</v>
      </c>
      <c r="H806" s="4">
        <f t="shared" ref="H806:H809" si="161">H805*(1+M$805)</f>
        <v>1133.49</v>
      </c>
      <c r="I806" s="11">
        <v>1068.6315</v>
      </c>
      <c r="J806" s="11">
        <v>10044.3511572883</v>
      </c>
      <c r="K806" s="4">
        <f t="shared" ref="K806:K809" si="162">K805*(1+N$805)</f>
        <v>1234.41</v>
      </c>
    </row>
    <row r="807" spans="1:11">
      <c r="A807" s="1" t="s">
        <v>13</v>
      </c>
      <c r="B807" s="1">
        <v>2047</v>
      </c>
      <c r="C807" s="10">
        <v>1060.3165</v>
      </c>
      <c r="D807" s="11">
        <v>9663.47852358868</v>
      </c>
      <c r="E807" s="3">
        <f t="shared" si="160"/>
        <v>1208.06</v>
      </c>
      <c r="F807" s="11">
        <v>1138.187</v>
      </c>
      <c r="G807" s="11">
        <v>9558.63215651418</v>
      </c>
      <c r="H807" s="4">
        <f t="shared" si="161"/>
        <v>1133.49</v>
      </c>
      <c r="I807" s="11">
        <v>1071.4082</v>
      </c>
      <c r="J807" s="11">
        <v>10256.1696021378</v>
      </c>
      <c r="K807" s="4">
        <f t="shared" si="162"/>
        <v>1234.41</v>
      </c>
    </row>
    <row r="808" spans="1:11">
      <c r="A808" s="1" t="s">
        <v>13</v>
      </c>
      <c r="B808" s="1">
        <v>2048</v>
      </c>
      <c r="C808" s="10">
        <v>1062.4135</v>
      </c>
      <c r="D808" s="11">
        <v>9808.11566526096</v>
      </c>
      <c r="E808" s="3">
        <f t="shared" si="160"/>
        <v>1208.06</v>
      </c>
      <c r="F808" s="11">
        <v>1143.8832</v>
      </c>
      <c r="G808" s="11">
        <v>9696.98638703428</v>
      </c>
      <c r="H808" s="4">
        <f t="shared" si="161"/>
        <v>1133.49</v>
      </c>
      <c r="I808" s="11">
        <v>1073.9255</v>
      </c>
      <c r="J808" s="11">
        <v>10463.649363557</v>
      </c>
      <c r="K808" s="4">
        <f t="shared" si="162"/>
        <v>1234.41</v>
      </c>
    </row>
    <row r="809" spans="1:11">
      <c r="A809" s="1" t="s">
        <v>13</v>
      </c>
      <c r="B809" s="1">
        <v>2049</v>
      </c>
      <c r="C809" s="10">
        <v>1064.2743</v>
      </c>
      <c r="D809" s="11">
        <v>9947.81421897486</v>
      </c>
      <c r="E809" s="3">
        <f t="shared" si="160"/>
        <v>1208.06</v>
      </c>
      <c r="F809" s="11">
        <v>1149.3883</v>
      </c>
      <c r="G809" s="11">
        <v>9824.28939648387</v>
      </c>
      <c r="H809" s="4">
        <f t="shared" si="161"/>
        <v>1133.49</v>
      </c>
      <c r="I809" s="11">
        <v>1076.2102</v>
      </c>
      <c r="J809" s="11">
        <v>10661.621315246</v>
      </c>
      <c r="K809" s="4">
        <f t="shared" si="162"/>
        <v>1234.41</v>
      </c>
    </row>
    <row r="810" spans="1:11">
      <c r="A810" s="1" t="s">
        <v>13</v>
      </c>
      <c r="B810" s="1">
        <v>2050</v>
      </c>
      <c r="C810" s="10">
        <v>1065.9258</v>
      </c>
      <c r="D810" s="11">
        <v>10080.2642510771</v>
      </c>
      <c r="E810" s="18">
        <v>1228.97</v>
      </c>
      <c r="F810" s="11">
        <v>1154.7085</v>
      </c>
      <c r="G810" s="11">
        <v>9934.62181398777</v>
      </c>
      <c r="H810" s="17">
        <v>1157.76</v>
      </c>
      <c r="I810" s="11">
        <v>1078.2899</v>
      </c>
      <c r="J810" s="11">
        <v>10844.9163309053</v>
      </c>
      <c r="K810" s="17">
        <v>1263.44</v>
      </c>
    </row>
    <row r="811" spans="1:11">
      <c r="A811" s="1" t="s">
        <v>13</v>
      </c>
      <c r="B811" s="1">
        <v>2051</v>
      </c>
      <c r="C811" s="10">
        <v>1067.3917</v>
      </c>
      <c r="D811" s="11">
        <v>10203.5870857426</v>
      </c>
      <c r="E811" s="18">
        <v>1228.97</v>
      </c>
      <c r="F811" s="11">
        <v>1159.853</v>
      </c>
      <c r="G811" s="11">
        <v>10024.08042009</v>
      </c>
      <c r="H811" s="17">
        <v>1157.76</v>
      </c>
      <c r="I811" s="11">
        <v>1080.1888</v>
      </c>
      <c r="J811" s="11">
        <v>11009.895584416</v>
      </c>
      <c r="K811" s="17">
        <v>1263.44</v>
      </c>
    </row>
    <row r="812" spans="1:11">
      <c r="A812" s="1" t="s">
        <v>13</v>
      </c>
      <c r="B812" s="1">
        <v>2052</v>
      </c>
      <c r="C812" s="10">
        <v>1068.6826</v>
      </c>
      <c r="D812" s="11">
        <v>10317.6290784595</v>
      </c>
      <c r="E812" s="18">
        <v>1228.97</v>
      </c>
      <c r="F812" s="11">
        <v>1164.8405</v>
      </c>
      <c r="G812" s="11">
        <v>10096.8266010109</v>
      </c>
      <c r="H812" s="17">
        <v>1157.76</v>
      </c>
      <c r="I812" s="11">
        <v>1081.9182</v>
      </c>
      <c r="J812" s="11">
        <v>11159.0414503832</v>
      </c>
      <c r="K812" s="17">
        <v>1263.44</v>
      </c>
    </row>
    <row r="813" spans="1:11">
      <c r="A813" s="1" t="s">
        <v>13</v>
      </c>
      <c r="B813" s="1">
        <v>2053</v>
      </c>
      <c r="C813" s="10">
        <v>1069.8063</v>
      </c>
      <c r="D813" s="11">
        <v>10422.6678425443</v>
      </c>
      <c r="E813" s="18">
        <v>1228.97</v>
      </c>
      <c r="F813" s="11">
        <v>1169.6928</v>
      </c>
      <c r="G813" s="11">
        <v>10159.0378943904</v>
      </c>
      <c r="H813" s="17">
        <v>1157.76</v>
      </c>
      <c r="I813" s="11">
        <v>1083.4864</v>
      </c>
      <c r="J813" s="11">
        <v>11296.3666035929</v>
      </c>
      <c r="K813" s="17">
        <v>1263.44</v>
      </c>
    </row>
    <row r="814" spans="1:11">
      <c r="A814" s="1" t="s">
        <v>13</v>
      </c>
      <c r="B814" s="1">
        <v>2054</v>
      </c>
      <c r="C814" s="10">
        <v>1070.7715</v>
      </c>
      <c r="D814" s="11">
        <v>10518.9809913132</v>
      </c>
      <c r="E814" s="18">
        <v>1228.97</v>
      </c>
      <c r="F814" s="11">
        <v>1174.4321</v>
      </c>
      <c r="G814" s="11">
        <v>10216.891837868</v>
      </c>
      <c r="H814" s="17">
        <v>1157.76</v>
      </c>
      <c r="I814" s="11">
        <v>1084.9028</v>
      </c>
      <c r="J814" s="11">
        <v>11425.8837188312</v>
      </c>
      <c r="K814" s="17">
        <v>1263.44</v>
      </c>
    </row>
    <row r="815" spans="1:11">
      <c r="A815" s="1" t="s">
        <v>13</v>
      </c>
      <c r="B815" s="1">
        <v>2055</v>
      </c>
      <c r="C815" s="10">
        <v>1071.5878</v>
      </c>
      <c r="D815" s="11">
        <v>10606.8461380827</v>
      </c>
      <c r="E815" s="18">
        <v>1228.97</v>
      </c>
      <c r="F815" s="11">
        <v>1179.0815</v>
      </c>
      <c r="G815" s="11">
        <v>10276.5659690834</v>
      </c>
      <c r="H815" s="17">
        <v>1157.76</v>
      </c>
      <c r="I815" s="11">
        <v>1086.1775</v>
      </c>
      <c r="J815" s="11">
        <v>11551.605470884</v>
      </c>
      <c r="K815" s="17">
        <v>1263.44</v>
      </c>
    </row>
    <row r="816" spans="1:11">
      <c r="A816" s="1" t="s">
        <v>13</v>
      </c>
      <c r="B816" s="1">
        <v>2056</v>
      </c>
      <c r="C816" s="10">
        <v>1072.2575</v>
      </c>
      <c r="D816" s="11">
        <v>10687.2052737671</v>
      </c>
      <c r="E816" s="18">
        <v>1228.97</v>
      </c>
      <c r="F816" s="11">
        <v>1183.6608</v>
      </c>
      <c r="G816" s="11">
        <v>10342.8814394735</v>
      </c>
      <c r="H816" s="17">
        <v>1157.76</v>
      </c>
      <c r="I816" s="11">
        <v>1087.3136</v>
      </c>
      <c r="J816" s="11">
        <v>11677.4843003702</v>
      </c>
      <c r="K816" s="17">
        <v>1263.44</v>
      </c>
    </row>
    <row r="817" spans="1:11">
      <c r="A817" s="1" t="s">
        <v>13</v>
      </c>
      <c r="B817" s="1">
        <v>2057</v>
      </c>
      <c r="C817" s="10">
        <v>1072.7516</v>
      </c>
      <c r="D817" s="11">
        <v>10763.6578996718</v>
      </c>
      <c r="E817" s="18">
        <v>1228.97</v>
      </c>
      <c r="F817" s="11">
        <v>1188.1724</v>
      </c>
      <c r="G817" s="11">
        <v>10415.2338556646</v>
      </c>
      <c r="H817" s="17">
        <v>1157.76</v>
      </c>
      <c r="I817" s="11">
        <v>1088.2824</v>
      </c>
      <c r="J817" s="11">
        <v>11807.2317112403</v>
      </c>
      <c r="K817" s="17">
        <v>1263.44</v>
      </c>
    </row>
    <row r="818" spans="1:11">
      <c r="A818" s="1" t="s">
        <v>13</v>
      </c>
      <c r="B818" s="1">
        <v>2058</v>
      </c>
      <c r="C818" s="10">
        <v>1073.0336</v>
      </c>
      <c r="D818" s="11">
        <v>10840.4678947004</v>
      </c>
      <c r="E818" s="18">
        <v>1228.97</v>
      </c>
      <c r="F818" s="11">
        <v>1192.6146</v>
      </c>
      <c r="G818" s="11">
        <v>10491.6624380801</v>
      </c>
      <c r="H818" s="17">
        <v>1157.76</v>
      </c>
      <c r="I818" s="11">
        <v>1089.0474</v>
      </c>
      <c r="J818" s="11">
        <v>11944.4989732775</v>
      </c>
      <c r="K818" s="17">
        <v>1263.44</v>
      </c>
    </row>
    <row r="819" spans="1:11">
      <c r="A819" s="1" t="s">
        <v>13</v>
      </c>
      <c r="B819" s="1">
        <v>2059</v>
      </c>
      <c r="C819" s="10">
        <v>1073.0669</v>
      </c>
      <c r="D819" s="11">
        <v>10921.8991377563</v>
      </c>
      <c r="E819" s="18">
        <v>1228.97</v>
      </c>
      <c r="F819" s="11">
        <v>1196.9855</v>
      </c>
      <c r="G819" s="11">
        <v>10570.2064071434</v>
      </c>
      <c r="H819" s="17">
        <v>1157.76</v>
      </c>
      <c r="I819" s="11">
        <v>1089.5722</v>
      </c>
      <c r="J819" s="11">
        <v>12092.9373562652</v>
      </c>
      <c r="K819" s="17">
        <v>1263.44</v>
      </c>
    </row>
    <row r="820" spans="1:11">
      <c r="A820" s="1" t="s">
        <v>13</v>
      </c>
      <c r="B820" s="1">
        <v>2060</v>
      </c>
      <c r="C820" s="10">
        <v>1072.8153</v>
      </c>
      <c r="D820" s="11">
        <v>11012.2155077428</v>
      </c>
      <c r="E820" s="18">
        <v>1228.97</v>
      </c>
      <c r="F820" s="11">
        <v>1201.2834</v>
      </c>
      <c r="G820" s="11">
        <v>10648.904983278</v>
      </c>
      <c r="H820" s="17">
        <v>1157.76</v>
      </c>
      <c r="I820" s="11">
        <v>1089.8208</v>
      </c>
      <c r="J820" s="11">
        <v>12256.1981299866</v>
      </c>
      <c r="K820" s="17">
        <v>1263.44</v>
      </c>
    </row>
    <row r="821" spans="1:11">
      <c r="A821" s="1" t="s">
        <v>13</v>
      </c>
      <c r="B821" s="1">
        <v>2061</v>
      </c>
      <c r="C821" s="10">
        <v>1072.2543</v>
      </c>
      <c r="D821" s="11">
        <v>11113.9699466436</v>
      </c>
      <c r="E821" s="18">
        <v>1228.97</v>
      </c>
      <c r="F821" s="11">
        <v>1205.514</v>
      </c>
      <c r="G821" s="11">
        <v>10726.2621064895</v>
      </c>
      <c r="H821" s="17">
        <v>1157.76</v>
      </c>
      <c r="I821" s="11">
        <v>1089.769</v>
      </c>
      <c r="J821" s="11">
        <v>12436.1837378173</v>
      </c>
      <c r="K821" s="17">
        <v>1263.44</v>
      </c>
    </row>
    <row r="822" spans="1:11">
      <c r="A822" s="1" t="s">
        <v>13</v>
      </c>
      <c r="B822" s="1">
        <v>2062</v>
      </c>
      <c r="C822" s="10">
        <v>1071.4072</v>
      </c>
      <c r="D822" s="11">
        <v>11222.8716487633</v>
      </c>
      <c r="E822" s="18">
        <v>1228.97</v>
      </c>
      <c r="F822" s="11">
        <v>1209.7143</v>
      </c>
      <c r="G822" s="11">
        <v>10802.6405951122</v>
      </c>
      <c r="H822" s="17">
        <v>1157.76</v>
      </c>
      <c r="I822" s="11">
        <v>1089.4396</v>
      </c>
      <c r="J822" s="11">
        <v>12627.801317501</v>
      </c>
      <c r="K822" s="17">
        <v>1263.44</v>
      </c>
    </row>
    <row r="823" spans="1:11">
      <c r="A823" s="1" t="s">
        <v>13</v>
      </c>
      <c r="B823" s="1">
        <v>2063</v>
      </c>
      <c r="C823" s="10">
        <v>1070.3083</v>
      </c>
      <c r="D823" s="11">
        <v>11332.9188714867</v>
      </c>
      <c r="E823" s="18">
        <v>1228.97</v>
      </c>
      <c r="F823" s="11">
        <v>1213.9283</v>
      </c>
      <c r="G823" s="11">
        <v>10878.8679870625</v>
      </c>
      <c r="H823" s="17">
        <v>1157.76</v>
      </c>
      <c r="I823" s="11">
        <v>1088.8663</v>
      </c>
      <c r="J823" s="11">
        <v>12824.2091803741</v>
      </c>
      <c r="K823" s="17">
        <v>1263.44</v>
      </c>
    </row>
    <row r="824" spans="1:11">
      <c r="A824" s="1" t="s">
        <v>13</v>
      </c>
      <c r="B824" s="1">
        <v>2064</v>
      </c>
      <c r="C824" s="10">
        <v>1068.9911</v>
      </c>
      <c r="D824" s="11">
        <v>11438.1098721988</v>
      </c>
      <c r="E824" s="18">
        <v>1228.97</v>
      </c>
      <c r="F824" s="11">
        <v>1218.1996</v>
      </c>
      <c r="G824" s="11">
        <v>10955.771820257</v>
      </c>
      <c r="H824" s="17">
        <v>1157.76</v>
      </c>
      <c r="I824" s="11">
        <v>1088.0817</v>
      </c>
      <c r="J824" s="11">
        <v>13018.5656377725</v>
      </c>
      <c r="K824" s="17">
        <v>1263.44</v>
      </c>
    </row>
    <row r="825" spans="1:11">
      <c r="A825" s="1" t="s">
        <v>13</v>
      </c>
      <c r="B825" s="1">
        <v>2065</v>
      </c>
      <c r="C825" s="10">
        <v>1067.4878</v>
      </c>
      <c r="D825" s="11">
        <v>11532.4429082843</v>
      </c>
      <c r="E825" s="18">
        <v>1228.97</v>
      </c>
      <c r="F825" s="11">
        <v>1222.5707</v>
      </c>
      <c r="G825" s="11">
        <v>11034.179632612</v>
      </c>
      <c r="H825" s="17">
        <v>1157.76</v>
      </c>
      <c r="I825" s="11">
        <v>1087.1171</v>
      </c>
      <c r="J825" s="11">
        <v>13204.0290010323</v>
      </c>
      <c r="K825" s="17">
        <v>1263.44</v>
      </c>
    </row>
    <row r="826" spans="1:11">
      <c r="A826" s="1" t="s">
        <v>13</v>
      </c>
      <c r="B826" s="1">
        <v>2066</v>
      </c>
      <c r="C826" s="10">
        <v>1065.8438</v>
      </c>
      <c r="D826" s="11">
        <v>11611.0985734872</v>
      </c>
      <c r="E826" s="18">
        <v>1228.97</v>
      </c>
      <c r="F826" s="11">
        <v>1227.082</v>
      </c>
      <c r="G826" s="11">
        <v>11114.5305355112</v>
      </c>
      <c r="H826" s="17">
        <v>1157.76</v>
      </c>
      <c r="I826" s="11">
        <v>1086.0171</v>
      </c>
      <c r="J826" s="11">
        <v>13375.481858511</v>
      </c>
      <c r="K826" s="17">
        <v>1263.44</v>
      </c>
    </row>
    <row r="827" spans="1:11">
      <c r="A827" s="1" t="s">
        <v>13</v>
      </c>
      <c r="B827" s="1">
        <v>2067</v>
      </c>
      <c r="C827" s="10">
        <v>1064.1598</v>
      </c>
      <c r="D827" s="11">
        <v>11673.9868069883</v>
      </c>
      <c r="E827" s="18">
        <v>1228.97</v>
      </c>
      <c r="F827" s="11">
        <v>1231.7673</v>
      </c>
      <c r="G827" s="11">
        <v>11195.709934206</v>
      </c>
      <c r="H827" s="17">
        <v>1157.76</v>
      </c>
      <c r="I827" s="11">
        <v>1084.8816</v>
      </c>
      <c r="J827" s="11">
        <v>13534.703906651</v>
      </c>
      <c r="K827" s="17">
        <v>1263.44</v>
      </c>
    </row>
    <row r="828" spans="1:11">
      <c r="A828" s="1" t="s">
        <v>13</v>
      </c>
      <c r="B828" s="1">
        <v>2068</v>
      </c>
      <c r="C828" s="10">
        <v>1062.5506</v>
      </c>
      <c r="D828" s="11">
        <v>11722.1998843275</v>
      </c>
      <c r="E828" s="18">
        <v>1228.97</v>
      </c>
      <c r="F828" s="11">
        <v>1236.6582</v>
      </c>
      <c r="G828" s="11">
        <v>11276.2148074151</v>
      </c>
      <c r="H828" s="17">
        <v>1157.76</v>
      </c>
      <c r="I828" s="11">
        <v>1083.824</v>
      </c>
      <c r="J828" s="11">
        <v>13685.1991189161</v>
      </c>
      <c r="K828" s="17">
        <v>1263.44</v>
      </c>
    </row>
    <row r="829" spans="1:11">
      <c r="A829" s="1" t="s">
        <v>13</v>
      </c>
      <c r="B829" s="1">
        <v>2069</v>
      </c>
      <c r="C829" s="10">
        <v>1061.1307</v>
      </c>
      <c r="D829" s="11">
        <v>11756.8300810446</v>
      </c>
      <c r="E829" s="18">
        <v>1228.97</v>
      </c>
      <c r="F829" s="11">
        <v>1241.7857</v>
      </c>
      <c r="G829" s="11">
        <v>11354.5421338573</v>
      </c>
      <c r="H829" s="17">
        <v>1157.76</v>
      </c>
      <c r="I829" s="11">
        <v>1082.9577</v>
      </c>
      <c r="J829" s="11">
        <v>13830.4714687698</v>
      </c>
      <c r="K829" s="17">
        <v>1263.44</v>
      </c>
    </row>
    <row r="830" spans="1:11">
      <c r="A830" s="1" t="s">
        <v>13</v>
      </c>
      <c r="B830" s="1">
        <v>2070</v>
      </c>
      <c r="C830" s="10">
        <v>1060.0144</v>
      </c>
      <c r="D830" s="11">
        <v>11778.9696726796</v>
      </c>
      <c r="E830" s="18">
        <v>1228.97</v>
      </c>
      <c r="F830" s="11">
        <v>1247.1801</v>
      </c>
      <c r="G830" s="11">
        <v>11429.1888922512</v>
      </c>
      <c r="H830" s="17">
        <v>1157.76</v>
      </c>
      <c r="I830" s="11">
        <v>1082.3956</v>
      </c>
      <c r="J830" s="11">
        <v>13974.024929676</v>
      </c>
      <c r="K830" s="17">
        <v>1263.44</v>
      </c>
    </row>
    <row r="831" spans="1:11">
      <c r="A831" s="1" t="s">
        <v>13</v>
      </c>
      <c r="B831" s="1">
        <v>2071</v>
      </c>
      <c r="C831" s="10">
        <v>1059.2712</v>
      </c>
      <c r="D831" s="11">
        <v>11791.0595947584</v>
      </c>
      <c r="E831" s="18">
        <v>1228.97</v>
      </c>
      <c r="F831" s="11">
        <v>1252.8515</v>
      </c>
      <c r="G831" s="11">
        <v>11500.1240422584</v>
      </c>
      <c r="H831" s="17">
        <v>1157.76</v>
      </c>
      <c r="I831" s="11">
        <v>1082.2061</v>
      </c>
      <c r="J831" s="11">
        <v>14119.2077119693</v>
      </c>
      <c r="K831" s="17">
        <v>1263.44</v>
      </c>
    </row>
    <row r="832" spans="1:11">
      <c r="A832" s="1" t="s">
        <v>13</v>
      </c>
      <c r="B832" s="1">
        <v>2072</v>
      </c>
      <c r="C832" s="10">
        <v>1058.7923</v>
      </c>
      <c r="D832" s="11">
        <v>11800.9354227513</v>
      </c>
      <c r="E832" s="18">
        <v>1228.97</v>
      </c>
      <c r="F832" s="11">
        <v>1258.7302</v>
      </c>
      <c r="G832" s="11">
        <v>11573.2044673121</v>
      </c>
      <c r="H832" s="17">
        <v>1157.76</v>
      </c>
      <c r="I832" s="11">
        <v>1082.2808</v>
      </c>
      <c r="J832" s="11">
        <v>14268.7449734679</v>
      </c>
      <c r="K832" s="17">
        <v>1263.44</v>
      </c>
    </row>
    <row r="833" spans="1:11">
      <c r="A833" s="1" t="s">
        <v>13</v>
      </c>
      <c r="B833" s="1">
        <v>2073</v>
      </c>
      <c r="C833" s="10">
        <v>1058.4232</v>
      </c>
      <c r="D833" s="11">
        <v>11817.7813921144</v>
      </c>
      <c r="E833" s="18">
        <v>1228.97</v>
      </c>
      <c r="F833" s="11">
        <v>1264.7262</v>
      </c>
      <c r="G833" s="11">
        <v>11655.7590317886</v>
      </c>
      <c r="H833" s="17">
        <v>1157.76</v>
      </c>
      <c r="I833" s="11">
        <v>1082.4661</v>
      </c>
      <c r="J833" s="11">
        <v>14425.2061088607</v>
      </c>
      <c r="K833" s="17">
        <v>1263.44</v>
      </c>
    </row>
    <row r="834" spans="1:11">
      <c r="A834" s="1" t="s">
        <v>13</v>
      </c>
      <c r="B834" s="1">
        <v>2074</v>
      </c>
      <c r="C834" s="10">
        <v>1058.0084</v>
      </c>
      <c r="D834" s="11">
        <v>11850.781738304</v>
      </c>
      <c r="E834" s="18">
        <v>1228.97</v>
      </c>
      <c r="F834" s="11">
        <v>1270.7484</v>
      </c>
      <c r="G834" s="11">
        <v>11755.1166000639</v>
      </c>
      <c r="H834" s="17">
        <v>1157.76</v>
      </c>
      <c r="I834" s="11">
        <v>1082.6076</v>
      </c>
      <c r="J834" s="11">
        <v>14591.1605128369</v>
      </c>
      <c r="K834" s="17">
        <v>1263.44</v>
      </c>
    </row>
    <row r="835" spans="1:11">
      <c r="A835" s="1" t="s">
        <v>13</v>
      </c>
      <c r="B835" s="1">
        <v>2075</v>
      </c>
      <c r="C835" s="10">
        <v>1057.3913</v>
      </c>
      <c r="D835" s="11">
        <v>11909.1206967764</v>
      </c>
      <c r="E835" s="18">
        <v>1228.97</v>
      </c>
      <c r="F835" s="11">
        <v>1276.7048</v>
      </c>
      <c r="G835" s="11">
        <v>11878.6060365143</v>
      </c>
      <c r="H835" s="17">
        <v>1157.76</v>
      </c>
      <c r="I835" s="11">
        <v>1082.5498</v>
      </c>
      <c r="J835" s="11">
        <v>14769.1775800855</v>
      </c>
      <c r="K835" s="17">
        <v>1263.44</v>
      </c>
    </row>
    <row r="836" spans="1:11">
      <c r="A836" s="1" t="s">
        <v>13</v>
      </c>
      <c r="B836" s="1">
        <v>2076</v>
      </c>
      <c r="C836" s="10">
        <v>1056.4145</v>
      </c>
      <c r="D836" s="11">
        <v>11998.0932827521</v>
      </c>
      <c r="E836" s="18">
        <v>1228.97</v>
      </c>
      <c r="F836" s="11">
        <v>1282.5141</v>
      </c>
      <c r="G836" s="11">
        <v>12030.2666585181</v>
      </c>
      <c r="H836" s="17">
        <v>1157.76</v>
      </c>
      <c r="I836" s="11">
        <v>1082.1363</v>
      </c>
      <c r="J836" s="11">
        <v>14960.7874713328</v>
      </c>
      <c r="K836" s="17">
        <v>1263.44</v>
      </c>
    </row>
    <row r="837" spans="1:11">
      <c r="A837" s="1" t="s">
        <v>13</v>
      </c>
      <c r="B837" s="1">
        <v>2077</v>
      </c>
      <c r="C837" s="10">
        <v>1054.9211</v>
      </c>
      <c r="D837" s="11">
        <v>12107.437630509</v>
      </c>
      <c r="E837" s="18">
        <v>1228.97</v>
      </c>
      <c r="F837" s="11">
        <v>1288.1412</v>
      </c>
      <c r="G837" s="11">
        <v>12200.9795954627</v>
      </c>
      <c r="H837" s="17">
        <v>1157.76</v>
      </c>
      <c r="I837" s="11">
        <v>1081.2104</v>
      </c>
      <c r="J837" s="11">
        <v>15163.363411454</v>
      </c>
      <c r="K837" s="17">
        <v>1263.44</v>
      </c>
    </row>
    <row r="838" spans="1:11">
      <c r="A838" s="1" t="s">
        <v>13</v>
      </c>
      <c r="B838" s="1">
        <v>2078</v>
      </c>
      <c r="C838" s="10">
        <v>1052.7567</v>
      </c>
      <c r="D838" s="11">
        <v>12223.0026540896</v>
      </c>
      <c r="E838" s="18">
        <v>1228.97</v>
      </c>
      <c r="F838" s="11">
        <v>1293.5648</v>
      </c>
      <c r="G838" s="11">
        <v>12378.3364297374</v>
      </c>
      <c r="H838" s="17">
        <v>1157.76</v>
      </c>
      <c r="I838" s="11">
        <v>1079.6178</v>
      </c>
      <c r="J838" s="11">
        <v>15373.2393913614</v>
      </c>
      <c r="K838" s="17">
        <v>1263.44</v>
      </c>
    </row>
    <row r="839" spans="1:11">
      <c r="A839" s="1" t="s">
        <v>13</v>
      </c>
      <c r="B839" s="1">
        <v>2079</v>
      </c>
      <c r="C839" s="10">
        <v>1049.7692</v>
      </c>
      <c r="D839" s="11">
        <v>12330.6372675361</v>
      </c>
      <c r="E839" s="18">
        <v>1228.97</v>
      </c>
      <c r="F839" s="11">
        <v>1298.7662</v>
      </c>
      <c r="G839" s="11">
        <v>12549.9287437318</v>
      </c>
      <c r="H839" s="17">
        <v>1157.76</v>
      </c>
      <c r="I839" s="11">
        <v>1077.2072</v>
      </c>
      <c r="J839" s="11">
        <v>15586.7494019675</v>
      </c>
      <c r="K839" s="17">
        <v>1263.44</v>
      </c>
    </row>
    <row r="840" spans="1:11">
      <c r="A840" s="1" t="s">
        <v>13</v>
      </c>
      <c r="B840" s="1">
        <v>2080</v>
      </c>
      <c r="C840" s="10">
        <v>1045.809</v>
      </c>
      <c r="D840" s="11">
        <v>12416.1903848907</v>
      </c>
      <c r="E840" s="18">
        <v>1228.97</v>
      </c>
      <c r="F840" s="11">
        <v>1303.7296</v>
      </c>
      <c r="G840" s="11">
        <v>12703.3481198352</v>
      </c>
      <c r="H840" s="17">
        <v>1157.76</v>
      </c>
      <c r="I840" s="11">
        <v>1073.8301</v>
      </c>
      <c r="J840" s="11">
        <v>15800.2274341846</v>
      </c>
      <c r="K840" s="17">
        <v>1263.44</v>
      </c>
    </row>
    <row r="841" spans="1:11">
      <c r="A841" s="1" t="s">
        <v>13</v>
      </c>
      <c r="B841" s="1">
        <v>2081</v>
      </c>
      <c r="C841" s="10">
        <v>1040.807</v>
      </c>
      <c r="D841" s="11">
        <v>12469.1928320838</v>
      </c>
      <c r="E841" s="18">
        <v>1228.97</v>
      </c>
      <c r="F841" s="11">
        <v>1308.4606</v>
      </c>
      <c r="G841" s="11">
        <v>12829.6024222863</v>
      </c>
      <c r="H841" s="17">
        <v>1157.76</v>
      </c>
      <c r="I841" s="11">
        <v>1069.419</v>
      </c>
      <c r="J841" s="11">
        <v>16010.0925038721</v>
      </c>
      <c r="K841" s="17">
        <v>1263.44</v>
      </c>
    </row>
    <row r="842" spans="1:11">
      <c r="A842" s="1" t="s">
        <v>13</v>
      </c>
      <c r="B842" s="1">
        <v>2082</v>
      </c>
      <c r="C842" s="10">
        <v>1035.0089</v>
      </c>
      <c r="D842" s="11">
        <v>12493.9030825973</v>
      </c>
      <c r="E842" s="18">
        <v>1228.97</v>
      </c>
      <c r="F842" s="11">
        <v>1313.0399</v>
      </c>
      <c r="G842" s="11">
        <v>12933.3646427203</v>
      </c>
      <c r="H842" s="17">
        <v>1157.76</v>
      </c>
      <c r="I842" s="11">
        <v>1064.2214</v>
      </c>
      <c r="J842" s="11">
        <v>16213.1037266771</v>
      </c>
      <c r="K842" s="17">
        <v>1263.44</v>
      </c>
    </row>
    <row r="843" spans="1:11">
      <c r="A843" s="1" t="s">
        <v>13</v>
      </c>
      <c r="B843" s="1">
        <v>2083</v>
      </c>
      <c r="C843" s="10">
        <v>1028.7383</v>
      </c>
      <c r="D843" s="11">
        <v>12498.261521801</v>
      </c>
      <c r="E843" s="18">
        <v>1228.97</v>
      </c>
      <c r="F843" s="11">
        <v>1317.5649</v>
      </c>
      <c r="G843" s="11">
        <v>13022.7240546217</v>
      </c>
      <c r="H843" s="17">
        <v>1157.76</v>
      </c>
      <c r="I843" s="11">
        <v>1058.5624</v>
      </c>
      <c r="J843" s="11">
        <v>16406.1052431938</v>
      </c>
      <c r="K843" s="17">
        <v>1263.44</v>
      </c>
    </row>
    <row r="844" spans="1:11">
      <c r="A844" s="1" t="s">
        <v>13</v>
      </c>
      <c r="B844" s="1">
        <v>2084</v>
      </c>
      <c r="C844" s="10">
        <v>1022.3192</v>
      </c>
      <c r="D844" s="11">
        <v>12490.2085350648</v>
      </c>
      <c r="E844" s="18">
        <v>1228.97</v>
      </c>
      <c r="F844" s="11">
        <v>1322.1306</v>
      </c>
      <c r="G844" s="11">
        <v>13105.7699314749</v>
      </c>
      <c r="H844" s="17">
        <v>1157.76</v>
      </c>
      <c r="I844" s="11">
        <v>1052.7672</v>
      </c>
      <c r="J844" s="11">
        <v>16585.9411940163</v>
      </c>
      <c r="K844" s="17">
        <v>1263.44</v>
      </c>
    </row>
    <row r="845" spans="1:11">
      <c r="A845" s="1" t="s">
        <v>13</v>
      </c>
      <c r="B845" s="1">
        <v>2085</v>
      </c>
      <c r="C845" s="10">
        <v>1016.0757</v>
      </c>
      <c r="D845" s="11">
        <v>12477.6845077586</v>
      </c>
      <c r="E845" s="18">
        <v>1228.97</v>
      </c>
      <c r="F845" s="11">
        <v>1326.8293</v>
      </c>
      <c r="G845" s="11">
        <v>13190.5915467644</v>
      </c>
      <c r="H845" s="17">
        <v>1157.76</v>
      </c>
      <c r="I845" s="11">
        <v>1047.1604</v>
      </c>
      <c r="J845" s="11">
        <v>16749.4557197386</v>
      </c>
      <c r="K845" s="17">
        <v>1263.44</v>
      </c>
    </row>
    <row r="846" spans="1:11">
      <c r="A846" s="1" t="s">
        <v>13</v>
      </c>
      <c r="B846" s="1">
        <v>2086</v>
      </c>
      <c r="C846" s="10">
        <v>1010.2712</v>
      </c>
      <c r="D846" s="11">
        <v>12466.7921993277</v>
      </c>
      <c r="E846" s="18">
        <v>1228.97</v>
      </c>
      <c r="F846" s="11">
        <v>1331.7446</v>
      </c>
      <c r="G846" s="11">
        <v>13283.830652743</v>
      </c>
      <c r="H846" s="17">
        <v>1157.76</v>
      </c>
      <c r="I846" s="11">
        <v>1042.0049</v>
      </c>
      <c r="J846" s="11">
        <v>16896.5736385801</v>
      </c>
      <c r="K846" s="17">
        <v>1263.44</v>
      </c>
    </row>
    <row r="847" spans="1:11">
      <c r="A847" s="1" t="s">
        <v>13</v>
      </c>
      <c r="B847" s="1">
        <v>2087</v>
      </c>
      <c r="C847" s="10">
        <v>1004.9243</v>
      </c>
      <c r="D847" s="11">
        <v>12456.28386552</v>
      </c>
      <c r="E847" s="18">
        <v>1228.97</v>
      </c>
      <c r="F847" s="11">
        <v>1336.9333</v>
      </c>
      <c r="G847" s="11">
        <v>13386.3389167383</v>
      </c>
      <c r="H847" s="17">
        <v>1157.76</v>
      </c>
      <c r="I847" s="11">
        <v>1037.3162</v>
      </c>
      <c r="J847" s="11">
        <v>17039.5424792604</v>
      </c>
      <c r="K847" s="17">
        <v>1263.44</v>
      </c>
    </row>
    <row r="848" spans="1:11">
      <c r="A848" s="1" t="s">
        <v>13</v>
      </c>
      <c r="B848" s="1">
        <v>2088</v>
      </c>
      <c r="C848" s="10">
        <v>999.9888</v>
      </c>
      <c r="D848" s="11">
        <v>12443.0741361588</v>
      </c>
      <c r="E848" s="18">
        <v>1228.97</v>
      </c>
      <c r="F848" s="11">
        <v>1342.4451</v>
      </c>
      <c r="G848" s="11">
        <v>13497.5204848463</v>
      </c>
      <c r="H848" s="17">
        <v>1157.76</v>
      </c>
      <c r="I848" s="11">
        <v>1033.0444</v>
      </c>
      <c r="J848" s="11">
        <v>17193.6904481245</v>
      </c>
      <c r="K848" s="17">
        <v>1263.44</v>
      </c>
    </row>
    <row r="849" spans="1:11">
      <c r="A849" s="1" t="s">
        <v>13</v>
      </c>
      <c r="B849" s="1">
        <v>2089</v>
      </c>
      <c r="C849" s="10">
        <v>995.414</v>
      </c>
      <c r="D849" s="11">
        <v>12424.0776410676</v>
      </c>
      <c r="E849" s="18">
        <v>1228.97</v>
      </c>
      <c r="F849" s="11">
        <v>1348.3289</v>
      </c>
      <c r="G849" s="11">
        <v>13616.7795031629</v>
      </c>
      <c r="H849" s="17">
        <v>1157.76</v>
      </c>
      <c r="I849" s="11">
        <v>1029.1345</v>
      </c>
      <c r="J849" s="11">
        <v>17374.3457515173</v>
      </c>
      <c r="K849" s="17">
        <v>1263.44</v>
      </c>
    </row>
    <row r="850" spans="1:11">
      <c r="A850" s="1" t="s">
        <v>13</v>
      </c>
      <c r="B850" s="1">
        <v>2090</v>
      </c>
      <c r="C850" s="10">
        <v>991.1448</v>
      </c>
      <c r="D850" s="11">
        <v>12396.2090100696</v>
      </c>
      <c r="E850" s="18">
        <v>1228.97</v>
      </c>
      <c r="F850" s="11">
        <v>1354.6324</v>
      </c>
      <c r="G850" s="11">
        <v>13743.5201177842</v>
      </c>
      <c r="H850" s="17">
        <v>1157.76</v>
      </c>
      <c r="I850" s="11">
        <v>1025.5268</v>
      </c>
      <c r="J850" s="11">
        <v>17596.8365957836</v>
      </c>
      <c r="K850" s="17">
        <v>1263.44</v>
      </c>
    </row>
    <row r="851" spans="1:11">
      <c r="A851" s="1" t="s">
        <v>13</v>
      </c>
      <c r="B851" s="1">
        <v>2091</v>
      </c>
      <c r="C851" s="10">
        <v>987.1277</v>
      </c>
      <c r="D851" s="11">
        <v>12357.3279193652</v>
      </c>
      <c r="E851" s="18">
        <v>1228.97</v>
      </c>
      <c r="F851" s="11">
        <v>1361.3823</v>
      </c>
      <c r="G851" s="11">
        <v>13876.9861884984</v>
      </c>
      <c r="H851" s="17">
        <v>1157.76</v>
      </c>
      <c r="I851" s="11">
        <v>1022.1637</v>
      </c>
      <c r="J851" s="11">
        <v>17871.4937796046</v>
      </c>
      <c r="K851" s="17">
        <v>1263.44</v>
      </c>
    </row>
    <row r="852" spans="1:11">
      <c r="A852" s="1" t="s">
        <v>13</v>
      </c>
      <c r="B852" s="1">
        <v>2092</v>
      </c>
      <c r="C852" s="10">
        <v>983.3322</v>
      </c>
      <c r="D852" s="11">
        <v>12309.0742306627</v>
      </c>
      <c r="E852" s="18">
        <v>1228.97</v>
      </c>
      <c r="F852" s="11">
        <v>1368.5238</v>
      </c>
      <c r="G852" s="11">
        <v>14015.7804298625</v>
      </c>
      <c r="H852" s="17">
        <v>1157.76</v>
      </c>
      <c r="I852" s="11">
        <v>1019.0139</v>
      </c>
      <c r="J852" s="11">
        <v>18188.6584710064</v>
      </c>
      <c r="K852" s="17">
        <v>1263.44</v>
      </c>
    </row>
    <row r="853" spans="1:11">
      <c r="A853" s="1" t="s">
        <v>13</v>
      </c>
      <c r="B853" s="1">
        <v>2093</v>
      </c>
      <c r="C853" s="10">
        <v>979.7347</v>
      </c>
      <c r="D853" s="11">
        <v>12254.0328520475</v>
      </c>
      <c r="E853" s="18">
        <v>1228.97</v>
      </c>
      <c r="F853" s="11">
        <v>1375.9819</v>
      </c>
      <c r="G853" s="11">
        <v>14158.3452701261</v>
      </c>
      <c r="H853" s="17">
        <v>1157.76</v>
      </c>
      <c r="I853" s="11">
        <v>1016.054</v>
      </c>
      <c r="J853" s="11">
        <v>18533.6744303514</v>
      </c>
      <c r="K853" s="17">
        <v>1263.44</v>
      </c>
    </row>
    <row r="854" spans="1:11">
      <c r="A854" s="1" t="s">
        <v>13</v>
      </c>
      <c r="B854" s="1">
        <v>2094</v>
      </c>
      <c r="C854" s="10">
        <v>976.3126</v>
      </c>
      <c r="D854" s="11">
        <v>12194.7886916049</v>
      </c>
      <c r="E854" s="18">
        <v>1228.97</v>
      </c>
      <c r="F854" s="11">
        <v>1383.6809</v>
      </c>
      <c r="G854" s="11">
        <v>14303.1231375385</v>
      </c>
      <c r="H854" s="17">
        <v>1157.76</v>
      </c>
      <c r="I854" s="11">
        <v>1013.2617</v>
      </c>
      <c r="J854" s="11">
        <v>18891.8854180019</v>
      </c>
      <c r="K854" s="17">
        <v>1263.44</v>
      </c>
    </row>
    <row r="855" spans="1:11">
      <c r="A855" s="1" t="s">
        <v>13</v>
      </c>
      <c r="B855" s="1">
        <v>2095</v>
      </c>
      <c r="C855" s="10">
        <v>973.0441</v>
      </c>
      <c r="D855" s="11">
        <v>12133.9266574202</v>
      </c>
      <c r="E855" s="18">
        <v>1228.97</v>
      </c>
      <c r="F855" s="11">
        <v>1391.545</v>
      </c>
      <c r="G855" s="11">
        <v>14448.556460349</v>
      </c>
      <c r="H855" s="17">
        <v>1157.76</v>
      </c>
      <c r="I855" s="11">
        <v>1010.6157</v>
      </c>
      <c r="J855" s="11">
        <v>19248.6351943203</v>
      </c>
      <c r="K855" s="17">
        <v>1263.44</v>
      </c>
    </row>
    <row r="856" spans="1:11">
      <c r="A856" s="1" t="s">
        <v>13</v>
      </c>
      <c r="B856" s="1">
        <v>2096</v>
      </c>
      <c r="C856" s="10">
        <v>969.9087</v>
      </c>
      <c r="D856" s="11">
        <v>12074.0316575787</v>
      </c>
      <c r="E856" s="18">
        <v>1228.97</v>
      </c>
      <c r="F856" s="11">
        <v>1399.4982</v>
      </c>
      <c r="G856" s="11">
        <v>14593.087666807</v>
      </c>
      <c r="H856" s="17">
        <v>1157.76</v>
      </c>
      <c r="I856" s="11">
        <v>1008.0958</v>
      </c>
      <c r="J856" s="11">
        <v>19589.2675196689</v>
      </c>
      <c r="K856" s="17">
        <v>1263.44</v>
      </c>
    </row>
    <row r="857" spans="1:11">
      <c r="A857" s="1" t="s">
        <v>13</v>
      </c>
      <c r="B857" s="1">
        <v>2097</v>
      </c>
      <c r="C857" s="10">
        <v>966.8866</v>
      </c>
      <c r="D857" s="11">
        <v>12017.6886001657</v>
      </c>
      <c r="E857" s="18">
        <v>1228.97</v>
      </c>
      <c r="F857" s="11">
        <v>1407.4646</v>
      </c>
      <c r="G857" s="11">
        <v>14735.1591851619</v>
      </c>
      <c r="H857" s="17">
        <v>1157.76</v>
      </c>
      <c r="I857" s="11">
        <v>1005.6829</v>
      </c>
      <c r="J857" s="11">
        <v>19899.1261544101</v>
      </c>
      <c r="K857" s="17">
        <v>1263.44</v>
      </c>
    </row>
    <row r="858" spans="1:11">
      <c r="A858" s="1" t="s">
        <v>13</v>
      </c>
      <c r="B858" s="1">
        <v>2098</v>
      </c>
      <c r="C858" s="10">
        <v>963.9591</v>
      </c>
      <c r="D858" s="11">
        <v>11967.4823932665</v>
      </c>
      <c r="E858" s="18">
        <v>1228.97</v>
      </c>
      <c r="F858" s="11">
        <v>1415.3683</v>
      </c>
      <c r="G858" s="11">
        <v>14873.2134436631</v>
      </c>
      <c r="H858" s="17">
        <v>1157.76</v>
      </c>
      <c r="I858" s="11">
        <v>1003.3587</v>
      </c>
      <c r="J858" s="11">
        <v>20163.5548589063</v>
      </c>
      <c r="K858" s="17">
        <v>1263.44</v>
      </c>
    </row>
    <row r="859" spans="1:11">
      <c r="A859" s="1" t="s">
        <v>13</v>
      </c>
      <c r="B859" s="1">
        <v>2099</v>
      </c>
      <c r="C859" s="10">
        <v>961.1083</v>
      </c>
      <c r="D859" s="11">
        <v>11925.9979449666</v>
      </c>
      <c r="E859" s="18">
        <v>1228.97</v>
      </c>
      <c r="F859" s="11">
        <v>1423.1333</v>
      </c>
      <c r="G859" s="11">
        <v>15005.6928705598</v>
      </c>
      <c r="H859" s="17">
        <v>1157.76</v>
      </c>
      <c r="I859" s="11">
        <v>1001.1064</v>
      </c>
      <c r="J859" s="11">
        <v>20367.8973935198</v>
      </c>
      <c r="K859" s="17">
        <v>1263.44</v>
      </c>
    </row>
    <row r="860" spans="1:11">
      <c r="A860" s="1" t="s">
        <v>13</v>
      </c>
      <c r="B860" s="1">
        <v>2100</v>
      </c>
      <c r="C860" s="10">
        <v>958.3173</v>
      </c>
      <c r="D860" s="11">
        <v>11895.8201633511</v>
      </c>
      <c r="E860" s="18">
        <v>1228.97</v>
      </c>
      <c r="F860" s="11">
        <v>1430.684</v>
      </c>
      <c r="G860" s="11">
        <v>15131.0398941016</v>
      </c>
      <c r="H860" s="17">
        <v>1157.76</v>
      </c>
      <c r="I860" s="11">
        <v>998.9095</v>
      </c>
      <c r="J860" s="11">
        <v>20497.497518613</v>
      </c>
      <c r="K860" s="17">
        <v>1263.44</v>
      </c>
    </row>
  </sheetData>
  <mergeCells count="7">
    <mergeCell ref="C1:E1"/>
    <mergeCell ref="F1:H1"/>
    <mergeCell ref="I1:K1"/>
    <mergeCell ref="A1:A2"/>
    <mergeCell ref="B1:B2"/>
    <mergeCell ref="L1:L2"/>
    <mergeCell ref="L3:L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4</vt:i4>
      </vt:variant>
    </vt:vector>
  </HeadingPairs>
  <TitlesOfParts>
    <vt:vector size="4" baseType="lpstr">
      <vt:lpstr>CMSD score（historical） </vt:lpstr>
      <vt:lpstr>CMSD score （future scenarios）</vt:lpstr>
      <vt:lpstr>Covariate (historical)</vt:lpstr>
      <vt:lpstr>Covariate (future scenario)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guoting</dc:creator>
  <cp:lastModifiedBy>L</cp:lastModifiedBy>
  <dcterms:created xsi:type="dcterms:W3CDTF">2026-03-24T00:17:00Z</dcterms:created>
  <dcterms:modified xsi:type="dcterms:W3CDTF">2026-03-23T18:27:14Z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7B587EF217C1CFE61DF7C069B618487C_41</vt:lpwstr>
  </property>
  <property fmtid="{D5CDD505-2E9C-101B-9397-08002B2CF9AE}" pid="3" name="KSOProductBuildVer">
    <vt:lpwstr>2052-7.3.1.8967</vt:lpwstr>
  </property>
</Properties>
</file>